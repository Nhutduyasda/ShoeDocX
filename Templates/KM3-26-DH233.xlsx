
<file path=[Content_Types].xml><?xml version="1.0" encoding="utf-8"?>
<Types xmlns="http://schemas.openxmlformats.org/package/2006/content-types">
  <Default Extension="png" ContentType="image/png"/>
  <Default Extension="wdp" ContentType="image/vnd.ms-photo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INV" sheetId="1" r:id="rId1"/>
    <sheet name="PKL" sheetId="2" r:id="rId2"/>
    <sheet name="Sheet2" sheetId="7" r:id="rId3"/>
    <sheet name="Sheet1 (2)" sheetId="5" state="hidden" r:id="rId4"/>
  </sheets>
  <externalReferences>
    <externalReference r:id="rId5"/>
  </externalReferences>
  <definedNames>
    <definedName name="_xlnm._FilterDatabase" localSheetId="0" hidden="1">INV!$A$12:$L$42</definedName>
    <definedName name="_xlnm._FilterDatabase" localSheetId="1" hidden="1">PKL!$A$11:$K$71</definedName>
    <definedName name="_xlnm._FilterDatabase" localSheetId="3" hidden="1">'Sheet1 (2)'!$A$1:$K$39</definedName>
    <definedName name="_xlnm.Print_Area" localSheetId="0">INV!$B$1:$J$60</definedName>
    <definedName name="_xlnm.Print_Area" localSheetId="1">PKL!$A$1:$H$93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<sst xmlns="http://schemas.openxmlformats.org/spreadsheetml/2006/main" count="617" uniqueCount="151">
  <si>
    <t>CÔNG TY TNHH HẢI AN NEW MATERIAL HẬU GIANG</t>
  </si>
  <si>
    <t>SỐ 168, ẤP TẦM VU 1, XÃ THẠNH HÒA, TP CẦN THƠ, VIỆT NAM.</t>
  </si>
  <si>
    <t>COMMERICAL INVOICE</t>
  </si>
  <si>
    <t>Bên thuê gia công :</t>
  </si>
  <si>
    <t>CÔNG TY TNHH KINGMAKER III (VIỆT NAM) FOOTWEAR</t>
  </si>
  <si>
    <t>INVOICE NO.:</t>
  </si>
  <si>
    <t>KMHD-NEW2026-0233</t>
  </si>
  <si>
    <t>Địa chỉ :</t>
  </si>
  <si>
    <t xml:space="preserve">SỐ 1, ĐƯỜNG 4A, KCN VIỆT NAM SINGAPORE, </t>
  </si>
  <si>
    <t>DATE:</t>
  </si>
  <si>
    <t>SEP 05,2026</t>
  </si>
  <si>
    <t>XÃ THỌ PHONG, TỈNH QUẢNG NGÃI, VIỆT NAM</t>
  </si>
  <si>
    <t>Hợp đồng: KM-HANEW/01-2025</t>
  </si>
  <si>
    <t>Điều kiện giao hàng:</t>
  </si>
  <si>
    <t>DAP</t>
  </si>
  <si>
    <t>Bên nhận gia công:</t>
  </si>
  <si>
    <t>Phương thức thanh toán:</t>
  </si>
  <si>
    <t xml:space="preserve">T/T </t>
  </si>
  <si>
    <t>SỐ 168, ẤP TẦM VU 1, XÃ THẠNH HÒA</t>
  </si>
  <si>
    <t xml:space="preserve">Nước đến: </t>
  </si>
  <si>
    <t>VIETNAM</t>
  </si>
  <si>
    <t>TP. CẦN THƠ, VIỆT NAM</t>
  </si>
  <si>
    <t>STT</t>
  </si>
  <si>
    <t>MÃ HÀNG</t>
  </si>
  <si>
    <t>MÔ TẢ</t>
  </si>
  <si>
    <t>SỐ LƯỢNG</t>
  </si>
  <si>
    <t>ĐVT</t>
  </si>
  <si>
    <t xml:space="preserve">ĐƠN GIÁ </t>
  </si>
  <si>
    <t>THÀNH TIỀN</t>
  </si>
  <si>
    <t>CMT
(USD)</t>
  </si>
  <si>
    <t>DAP
(USD)</t>
  </si>
  <si>
    <t>42072-030 (KM3.PO5.26)</t>
  </si>
  <si>
    <t>Giày có mũ giày bằng vật liệu dệt và đế ngoài bằng plastic, mũi giày không được gắn bảo vệ. Hàng mới 100%.</t>
  </si>
  <si>
    <t>đôi</t>
  </si>
  <si>
    <t>42072-267 (KM3.PO5.26)</t>
  </si>
  <si>
    <t>42072-410 (KM3.PO5.26)</t>
  </si>
  <si>
    <t>40700-060 (KM3.PO5.26)</t>
  </si>
  <si>
    <t>42073-030 (KM3.PO5.26)</t>
  </si>
  <si>
    <t>40700-007 (KM3.PO5.26)</t>
  </si>
  <si>
    <t>40700-066 (KM3.PO5.26)</t>
  </si>
  <si>
    <t>40700-410 (KM3.PO5.26)</t>
  </si>
  <si>
    <t>42072-066 (KM3.PO5.26)</t>
  </si>
  <si>
    <t>42073-060 (KM3.PO5.26)</t>
  </si>
  <si>
    <t>42073-410 (KM3.PO5.26)</t>
  </si>
  <si>
    <t>42072-060 (KM3.PO5.26)</t>
  </si>
  <si>
    <t>45187-1WQ (KM3.PO5.26)</t>
  </si>
  <si>
    <t>45187-3AW (KM3.PO5.26)</t>
  </si>
  <si>
    <t>42073-066 (KM3.PO5.26)</t>
  </si>
  <si>
    <t>45777-7BR (KM3.PO5.26)</t>
  </si>
  <si>
    <t>40700-143 (KM3.PO5.26)</t>
  </si>
  <si>
    <t>45428-2LX.G (KM3.PO5.26)</t>
  </si>
  <si>
    <t>40902-0MX.G (KM3.PO5.26)</t>
  </si>
  <si>
    <t>43223-001.G (KM3.PO5.26)</t>
  </si>
  <si>
    <t>41878-0NG.G (KM3.PO5.26)</t>
  </si>
  <si>
    <t>45849-0C4.G (KM3.PO5.26)</t>
  </si>
  <si>
    <t>45849-2OG.G (KM3.PO5.26)</t>
  </si>
  <si>
    <t>45902-1YZ.G (KM3.PO5.26)</t>
  </si>
  <si>
    <t>45862-0TA.G (KM3.PO5.26)</t>
  </si>
  <si>
    <t>45862-1ZK.G (KM3.PO5.26)</t>
  </si>
  <si>
    <t>45862-3ZZ.G (KM3.PO5.26)</t>
  </si>
  <si>
    <t>41898-2LI (KM3.PO5.26)</t>
  </si>
  <si>
    <t>45959-255 (KM3.PO5.26)</t>
  </si>
  <si>
    <t>TỔNG CỘNG:</t>
  </si>
  <si>
    <t>Bằng chữ: Ba mươi nghìn bảy trăm chín mươn đô la mỹ và tám mươi cents</t>
  </si>
  <si>
    <t>PACKING LIST</t>
  </si>
  <si>
    <t>KMHD-NEW2026-0050</t>
  </si>
  <si>
    <t>TT</t>
  </si>
  <si>
    <t xml:space="preserve">STT </t>
  </si>
  <si>
    <t>MÃ</t>
  </si>
  <si>
    <t>SỐ KIỆN</t>
  </si>
  <si>
    <t>TRỌNG LƯỢNG
(KGM)</t>
  </si>
  <si>
    <t>TỔNG TRỌNG LƯỢNG
(KGM)</t>
  </si>
  <si>
    <t xml:space="preserve"> </t>
  </si>
  <si>
    <t>42072-030</t>
  </si>
  <si>
    <t xml:space="preserve"> (KM3.PO5.26)</t>
  </si>
  <si>
    <t>Giày có mũ giày bằng vật liệu dệt và đế ngoài bằng plastic, mũi giày không được gắn bảo vệ (Đơn giá gia công:3.2 USD/đôi). Hàng mới 100%.</t>
  </si>
  <si>
    <t>PR</t>
  </si>
  <si>
    <t>42072-267</t>
  </si>
  <si>
    <t>42072-410</t>
  </si>
  <si>
    <t>40700-060</t>
  </si>
  <si>
    <t>Giày có mũ giày bằng vật liệu dệt và đế ngoài bằng plastic, mũi giày không được gắn bảo vệ (Đơn giá gia công:3 USD/đôi). Hàng mới 100%.</t>
  </si>
  <si>
    <t>42073-030</t>
  </si>
  <si>
    <t>40700-007</t>
  </si>
  <si>
    <t>40700-066</t>
  </si>
  <si>
    <t>40700-410</t>
  </si>
  <si>
    <t>42072-066</t>
  </si>
  <si>
    <t>42073-060</t>
  </si>
  <si>
    <t>42073-410</t>
  </si>
  <si>
    <t>42072-060</t>
  </si>
  <si>
    <t>45187-1WQ</t>
  </si>
  <si>
    <t>Giày có mũ giày bằng vật liệu dệt và đế ngoài bằng plastic, mũi giày không được gắn bảo vệ (Đơn giá gia công:3.02 USD/đôi). Hàng mới 100%.</t>
  </si>
  <si>
    <t>45187-3AW</t>
  </si>
  <si>
    <t>42073-066</t>
  </si>
  <si>
    <t>45777-7BR</t>
  </si>
  <si>
    <t>Giày có mũ giày bằng vật liệu dệt và đế ngoài bằng plastic, mũi giày không được gắn bảo vệ (Đơn giá gia công:2.99 USD/đôi). Hàng mới 100%.</t>
  </si>
  <si>
    <t>40700-143</t>
  </si>
  <si>
    <t>45428-2LX.G</t>
  </si>
  <si>
    <t>Giày có mũ giày bằng vật liệu dệt và đế ngoài bằng plastic, mũi giày không được gắn bảo vệ (Đơn giá gia công:1.16 USD/đôi). Hàng mới 100%.</t>
  </si>
  <si>
    <t>43223-001.G</t>
  </si>
  <si>
    <t>41878-0NG.G</t>
  </si>
  <si>
    <t>45849-0C4.G</t>
  </si>
  <si>
    <t>45849-2OG.G</t>
  </si>
  <si>
    <t>45902-1YZ.G</t>
  </si>
  <si>
    <t>45862-0TA.G</t>
  </si>
  <si>
    <t>45862-1ZK.G</t>
  </si>
  <si>
    <t>45862-3ZZ.G</t>
  </si>
  <si>
    <t>41898-2LI</t>
  </si>
  <si>
    <t>40902-0MX</t>
  </si>
  <si>
    <t>40902-0MX (KM3.PO5.26)</t>
  </si>
  <si>
    <t>45959-255</t>
  </si>
  <si>
    <t xml:space="preserve">45959-255 (KM3.PO5.26)
</t>
  </si>
  <si>
    <t>CMT</t>
  </si>
  <si>
    <t>FOB</t>
  </si>
  <si>
    <t xml:space="preserve"> (KM3.PO4.26)</t>
  </si>
  <si>
    <t>Giày có mũ giày bằng vật liệu dệt và đế ngoài bằng plastic, mũi giày không được gắn bảo vệ (Đơn giá gia công:3.0 USD/đôi). Hàng mới 100%.</t>
  </si>
  <si>
    <t>41878-0NG</t>
  </si>
  <si>
    <t>42072-1ZI</t>
  </si>
  <si>
    <t>Giày có mũ giày bằng vật liệu dệt và đế ngoài bằng plastic, mũi giày không được gắn bảo vệ (Đơn giá gia công:3.19 USD/đôi). Hàng mới 100%.</t>
  </si>
  <si>
    <t>42073-267</t>
  </si>
  <si>
    <t>43223-001</t>
  </si>
  <si>
    <t>44599-0PF</t>
  </si>
  <si>
    <t>44599-2KY</t>
  </si>
  <si>
    <t>44599-2KZ</t>
  </si>
  <si>
    <t>45187-4ZV</t>
  </si>
  <si>
    <t>45414-0CU</t>
  </si>
  <si>
    <t>45428-2LX</t>
  </si>
  <si>
    <t>45849-0C4</t>
  </si>
  <si>
    <t>45849-2OG</t>
  </si>
  <si>
    <t>45862-0TA</t>
  </si>
  <si>
    <t>45862-1ZK</t>
  </si>
  <si>
    <t>45862-3ZZ</t>
  </si>
  <si>
    <t>45865-0C4</t>
  </si>
  <si>
    <t>45865-2NX</t>
  </si>
  <si>
    <t>45866-2OC</t>
  </si>
  <si>
    <t>45868-0C4</t>
  </si>
  <si>
    <t>45875-001</t>
  </si>
  <si>
    <t>45876-0C4</t>
  </si>
  <si>
    <t>45876-0OE</t>
  </si>
  <si>
    <t>45906-0SM</t>
  </si>
  <si>
    <t>45906-4UX</t>
  </si>
  <si>
    <t>44259-265</t>
  </si>
  <si>
    <t>.M (KM3.PO3.26)</t>
  </si>
  <si>
    <t>Mũ giày bằng vật liệu dệt (đơn giá gia công: 2.23usd/đôi). hàng mới 100%.</t>
  </si>
  <si>
    <t>45636-060</t>
  </si>
  <si>
    <t>Mũ giày bằng vật liệu dệt (đơn giá gia công: 2.18usd/đôi). hàng mới 100%.</t>
  </si>
  <si>
    <t>45636-0HY</t>
  </si>
  <si>
    <t>45636-2NZ</t>
  </si>
  <si>
    <t>45636-455</t>
  </si>
  <si>
    <t>45636-79F</t>
  </si>
  <si>
    <t>45717-0HX</t>
  </si>
  <si>
    <t>45717-2GA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</si>
</sst>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38">
    <font>
      <sz val="10"/>
      <color rgb="FF000000"/>
      <name val="Times New Roman"/>
      <charset val="204"/>
    </font>
    <font>
      <sz val="14"/>
      <color theme="1"/>
      <name val="Times New Roman"/>
      <charset val="134"/>
    </font>
    <font>
      <sz val="10"/>
      <color theme="1"/>
      <name val="Times New Roman"/>
      <charset val="134"/>
    </font>
    <font>
      <sz val="12"/>
      <color theme="1"/>
      <name val="Times New Roman"/>
      <charset val="134"/>
    </font>
    <font>
      <sz val="16"/>
      <color theme="1"/>
      <name val="Times New Roman"/>
      <charset val="134"/>
    </font>
    <font>
      <sz val="10"/>
      <name val="Times New Roman"/>
      <charset val="134"/>
    </font>
    <font>
      <sz val="10"/>
      <color theme="1" tint="0.149998474074526"/>
      <name val="Times New Roman"/>
      <charset val="134"/>
    </font>
    <font>
      <sz val="20"/>
      <color theme="1" tint="0.149998474074526"/>
      <name val="Times New Roman"/>
      <charset val="134"/>
    </font>
    <font>
      <sz val="14"/>
      <color theme="1" tint="0.149998474074526"/>
      <name val="Times New Roman"/>
      <charset val="134"/>
    </font>
    <font>
      <sz val="16"/>
      <color theme="1" tint="0.149998474074526"/>
      <name val="Times New Roman"/>
      <charset val="134"/>
    </font>
    <font>
      <sz val="16"/>
      <color theme="1" tint="0.249977111117893"/>
      <name val="Times New Roman"/>
      <charset val="134"/>
    </font>
    <font>
      <sz val="16"/>
      <name val="Times New Roman"/>
      <charset val="134"/>
    </font>
    <font>
      <sz val="14"/>
      <color theme="1" tint="0.249977111117893"/>
      <name val="Times New Roman"/>
      <charset val="134"/>
    </font>
    <font>
      <sz val="12"/>
      <color theme="1" tint="0.249977111117893"/>
      <name val="Times New Roman"/>
      <charset val="134"/>
    </font>
    <font>
      <sz val="20"/>
      <color theme="1" tint="0.249977111117893"/>
      <name val="Times New Roman"/>
      <charset val="134"/>
    </font>
    <font>
      <b/>
      <sz val="20"/>
      <color theme="1" tint="0.249977111117893"/>
      <name val="Times New Roman"/>
      <charset val="134"/>
    </font>
    <font>
      <sz val="18"/>
      <color theme="1" tint="0.249977111117893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7" fillId="0" borderId="0" applyFont="0" applyFill="0" applyBorder="0" applyAlignment="0" applyProtection="0"/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3" borderId="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9" applyNumberFormat="0" applyAlignment="0" applyProtection="0">
      <alignment vertical="center"/>
    </xf>
    <xf numFmtId="0" fontId="28" fillId="5" borderId="10" applyNumberFormat="0" applyAlignment="0" applyProtection="0">
      <alignment vertical="center"/>
    </xf>
    <xf numFmtId="0" fontId="29" fillId="5" borderId="9" applyNumberFormat="0" applyAlignment="0" applyProtection="0">
      <alignment vertical="center"/>
    </xf>
    <xf numFmtId="0" fontId="30" fillId="6" borderId="11" applyNumberFormat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</cellStyleXfs>
  <cellXfs count="79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2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righ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 wrapText="1"/>
    </xf>
    <xf numFmtId="0" fontId="9" fillId="2" borderId="2" xfId="0" applyFont="1" applyFill="1" applyBorder="1" applyAlignment="1">
      <alignment horizontal="center" vertical="center" wrapText="1"/>
    </xf>
    <xf numFmtId="1" fontId="9" fillId="2" borderId="2" xfId="0" applyNumberFormat="1" applyFont="1" applyFill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177" fontId="10" fillId="0" borderId="2" xfId="1" applyNumberFormat="1" applyFont="1" applyFill="1" applyBorder="1" applyAlignment="1">
      <alignment horizontal="right" vertical="center" shrinkToFit="1"/>
    </xf>
    <xf numFmtId="0" fontId="9" fillId="0" borderId="2" xfId="0" applyFont="1" applyBorder="1" applyAlignment="1">
      <alignment horizontal="center" vertical="center" wrapText="1"/>
    </xf>
    <xf numFmtId="177" fontId="9" fillId="2" borderId="2" xfId="1" applyNumberFormat="1" applyFont="1" applyFill="1" applyBorder="1" applyAlignment="1">
      <alignment vertical="center" wrapText="1"/>
    </xf>
    <xf numFmtId="43" fontId="9" fillId="2" borderId="2" xfId="1" applyFont="1" applyFill="1" applyBorder="1" applyAlignment="1">
      <alignment vertical="center" wrapText="1"/>
    </xf>
    <xf numFmtId="4" fontId="9" fillId="2" borderId="2" xfId="0" applyNumberFormat="1" applyFont="1" applyFill="1" applyBorder="1" applyAlignment="1">
      <alignment vertical="center" shrinkToFit="1"/>
    </xf>
    <xf numFmtId="43" fontId="6" fillId="2" borderId="0" xfId="0" applyNumberFormat="1" applyFont="1" applyFill="1" applyAlignment="1">
      <alignment horizontal="left" vertical="center"/>
    </xf>
    <xf numFmtId="177" fontId="6" fillId="2" borderId="0" xfId="0" applyNumberFormat="1" applyFont="1" applyFill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177" fontId="5" fillId="2" borderId="0" xfId="0" applyNumberFormat="1" applyFont="1" applyFill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177" fontId="9" fillId="2" borderId="1" xfId="0" applyNumberFormat="1" applyFont="1" applyFill="1" applyBorder="1" applyAlignment="1">
      <alignment horizontal="right" vertical="center" shrinkToFit="1"/>
    </xf>
    <xf numFmtId="43" fontId="9" fillId="2" borderId="1" xfId="0" applyNumberFormat="1" applyFont="1" applyFill="1" applyBorder="1" applyAlignment="1">
      <alignment horizontal="right" vertical="center" shrinkToFit="1"/>
    </xf>
    <xf numFmtId="1" fontId="11" fillId="2" borderId="2" xfId="0" applyNumberFormat="1" applyFont="1" applyFill="1" applyBorder="1" applyAlignment="1">
      <alignment horizontal="center" vertical="center" shrinkToFit="1"/>
    </xf>
    <xf numFmtId="0" fontId="11" fillId="0" borderId="2" xfId="0" applyFont="1" applyBorder="1" applyAlignment="1">
      <alignment horizontal="left" vertical="center" wrapText="1"/>
    </xf>
    <xf numFmtId="177" fontId="11" fillId="0" borderId="2" xfId="1" applyNumberFormat="1" applyFont="1" applyFill="1" applyBorder="1" applyAlignment="1">
      <alignment horizontal="right" vertical="center" shrinkToFit="1"/>
    </xf>
    <xf numFmtId="0" fontId="11" fillId="0" borderId="2" xfId="0" applyFont="1" applyBorder="1" applyAlignment="1">
      <alignment horizontal="center" vertical="center" wrapText="1"/>
    </xf>
    <xf numFmtId="177" fontId="11" fillId="2" borderId="2" xfId="1" applyNumberFormat="1" applyFont="1" applyFill="1" applyBorder="1" applyAlignment="1">
      <alignment vertical="center" wrapText="1"/>
    </xf>
    <xf numFmtId="43" fontId="11" fillId="2" borderId="2" xfId="1" applyFont="1" applyFill="1" applyBorder="1" applyAlignment="1">
      <alignment vertical="center" wrapText="1"/>
    </xf>
    <xf numFmtId="4" fontId="11" fillId="2" borderId="2" xfId="0" applyNumberFormat="1" applyFont="1" applyFill="1" applyBorder="1" applyAlignment="1">
      <alignment vertical="center" shrinkToFit="1"/>
    </xf>
    <xf numFmtId="43" fontId="5" fillId="2" borderId="0" xfId="0" applyNumberFormat="1" applyFont="1" applyFill="1" applyAlignment="1">
      <alignment horizontal="left" vertical="center"/>
    </xf>
    <xf numFmtId="0" fontId="9" fillId="2" borderId="5" xfId="0" applyFont="1" applyFill="1" applyBorder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6" fillId="0" borderId="0" xfId="0" applyFont="1" applyAlignment="1">
      <alignment horizontal="right" vertical="center" wrapText="1"/>
    </xf>
    <xf numFmtId="0" fontId="16" fillId="0" borderId="0" xfId="0" applyFont="1" applyAlignment="1">
      <alignment horizontal="left" vertical="center" wrapText="1"/>
    </xf>
    <xf numFmtId="0" fontId="10" fillId="0" borderId="0" xfId="0" applyFont="1" applyAlignment="1">
      <alignment horizontal="righ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 shrinkToFit="1"/>
    </xf>
    <xf numFmtId="4" fontId="10" fillId="0" borderId="2" xfId="0" applyNumberFormat="1" applyFont="1" applyBorder="1" applyAlignment="1">
      <alignment horizontal="right" vertical="center" shrinkToFit="1"/>
    </xf>
    <xf numFmtId="43" fontId="13" fillId="0" borderId="0" xfId="0" applyNumberFormat="1" applyFont="1" applyAlignment="1">
      <alignment horizontal="left" vertical="center"/>
    </xf>
    <xf numFmtId="43" fontId="13" fillId="0" borderId="0" xfId="1" applyFont="1" applyFill="1" applyBorder="1" applyAlignment="1">
      <alignment horizontal="left" vertical="center"/>
    </xf>
    <xf numFmtId="43" fontId="10" fillId="0" borderId="2" xfId="0" applyNumberFormat="1" applyFont="1" applyBorder="1" applyAlignment="1">
      <alignment vertical="center" wrapText="1"/>
    </xf>
    <xf numFmtId="4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0" fontId="10" fillId="2" borderId="0" xfId="0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457200</xdr:colOff>
      <xdr:row>43</xdr:row>
      <xdr:rowOff>71157</xdr:rowOff>
    </xdr:from>
    <xdr:to>
      <xdr:col>9</xdr:col>
      <xdr:colOff>1217520</xdr:colOff>
      <xdr:row>58</xdr:row>
      <xdr:rowOff>103989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-400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953750" y="6941185"/>
          <a:ext cx="4541520" cy="31946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806825</xdr:colOff>
      <xdr:row>72</xdr:row>
      <xdr:rowOff>25324</xdr:rowOff>
    </xdr:from>
    <xdr:to>
      <xdr:col>7</xdr:col>
      <xdr:colOff>1467972</xdr:colOff>
      <xdr:row>92</xdr:row>
      <xdr:rowOff>135722</xdr:rowOff>
    </xdr:to>
    <xdr:pic>
      <xdr:nvPicPr>
        <xdr:cNvPr id="3" name="Picture 2"/>
        <xdr:cNvPicPr>
          <a:picLocks noChangeAspect="1"/>
        </xdr:cNvPicPr>
      </xdr:nvPicPr>
      <xdr:blipFill>
        <a:blip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-400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321800" y="35252660"/>
          <a:ext cx="5556885" cy="39204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-WorkMayTinh02/CH&#7912;NG%20T&#7914;/G&#210;/XUAT%20GO/03%20BUY/KM3-26-DH108-BTP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V"/>
      <sheetName val="PKL"/>
      <sheetName val="Sheet1"/>
    </sheetNames>
    <sheetDataSet>
      <sheetData sheetId="0" refreshError="1"/>
      <sheetData sheetId="1" refreshError="1"/>
      <sheetData sheetId="2">
        <row r="2">
          <cell r="A2" t="str">
            <v>40700-007</v>
          </cell>
          <cell r="B2" t="str">
            <v> (KM3.PO2.26)</v>
          </cell>
          <cell r="C2" t="str">
            <v>40700-007 (KM3.PO2.26)</v>
          </cell>
          <cell r="D2">
            <v>3</v>
          </cell>
          <cell r="E2">
            <v>8.1</v>
          </cell>
        </row>
        <row r="3">
          <cell r="A3" t="str">
            <v>40700-060</v>
          </cell>
          <cell r="B3" t="str">
            <v> (KM3.PO2.26)</v>
          </cell>
          <cell r="C3" t="str">
            <v>40700-060 (KM3.PO2.26)</v>
          </cell>
          <cell r="D3">
            <v>3</v>
          </cell>
          <cell r="E3">
            <v>8.1</v>
          </cell>
        </row>
        <row r="4">
          <cell r="A4" t="str">
            <v>40700-066</v>
          </cell>
          <cell r="B4" t="str">
            <v> (KM3.PO2.26)</v>
          </cell>
          <cell r="C4" t="str">
            <v>40700-066 (KM3.PO2.26)</v>
          </cell>
          <cell r="D4">
            <v>3</v>
          </cell>
          <cell r="E4">
            <v>8.1</v>
          </cell>
        </row>
        <row r="5">
          <cell r="A5" t="str">
            <v>40700-143</v>
          </cell>
          <cell r="B5" t="str">
            <v> (KM3.PO2.26)</v>
          </cell>
          <cell r="C5" t="str">
            <v>40700-143 (KM3.PO2.26)</v>
          </cell>
          <cell r="D5">
            <v>3</v>
          </cell>
          <cell r="E5">
            <v>8.1</v>
          </cell>
        </row>
        <row r="6">
          <cell r="A6" t="str">
            <v>40700-1RU</v>
          </cell>
        </row>
        <row r="6">
          <cell r="C6" t="str">
            <v>40700-1RU</v>
          </cell>
          <cell r="D6">
            <v>3</v>
          </cell>
          <cell r="E6">
            <v>8.1</v>
          </cell>
        </row>
        <row r="7">
          <cell r="A7" t="str">
            <v>40700-1XA</v>
          </cell>
          <cell r="B7" t="str">
            <v> (KM3.PO2.26)</v>
          </cell>
          <cell r="C7" t="str">
            <v>40700-1XA (KM3.PO2.26)</v>
          </cell>
          <cell r="D7">
            <v>3</v>
          </cell>
          <cell r="E7">
            <v>8.1</v>
          </cell>
        </row>
        <row r="8">
          <cell r="A8" t="str">
            <v>40700-265</v>
          </cell>
        </row>
        <row r="8">
          <cell r="C8" t="str">
            <v>40700-265</v>
          </cell>
          <cell r="D8">
            <v>3</v>
          </cell>
          <cell r="E8">
            <v>8.1</v>
          </cell>
        </row>
        <row r="9">
          <cell r="A9" t="str">
            <v>40700-3CP</v>
          </cell>
        </row>
        <row r="9">
          <cell r="C9" t="str">
            <v>40700-3CP</v>
          </cell>
          <cell r="D9">
            <v>3</v>
          </cell>
          <cell r="E9">
            <v>8.1</v>
          </cell>
        </row>
        <row r="10">
          <cell r="A10" t="str">
            <v>40700-410</v>
          </cell>
          <cell r="B10" t="str">
            <v> (KM3.PO2.26)</v>
          </cell>
          <cell r="C10" t="str">
            <v>40700-410 (KM3.PO2.26)</v>
          </cell>
          <cell r="D10">
            <v>3</v>
          </cell>
          <cell r="E10">
            <v>8.1</v>
          </cell>
        </row>
        <row r="11">
          <cell r="A11" t="str">
            <v>41898-410</v>
          </cell>
          <cell r="B11" t="str">
            <v> (KM3.PO2.26)</v>
          </cell>
          <cell r="C11" t="str">
            <v>41898-410 (KM3.PO2.26)</v>
          </cell>
          <cell r="D11">
            <v>3.2</v>
          </cell>
          <cell r="E11">
            <v>8.5</v>
          </cell>
        </row>
        <row r="12">
          <cell r="A12" t="str">
            <v>42072-030</v>
          </cell>
          <cell r="B12" t="str">
            <v> (KM3.PO2.26)</v>
          </cell>
          <cell r="C12" t="str">
            <v>42072-030 (KM3.PO2.26)</v>
          </cell>
          <cell r="D12">
            <v>3.2</v>
          </cell>
          <cell r="E12">
            <v>8.2</v>
          </cell>
        </row>
        <row r="13">
          <cell r="A13" t="str">
            <v>42072-060</v>
          </cell>
          <cell r="B13" t="str">
            <v> (KM3.PO2.26)</v>
          </cell>
          <cell r="C13" t="str">
            <v>42072-060 (KM3.PO2.26)</v>
          </cell>
          <cell r="D13">
            <v>3.2</v>
          </cell>
          <cell r="E13">
            <v>8.2</v>
          </cell>
        </row>
        <row r="14">
          <cell r="A14" t="str">
            <v>42072-066</v>
          </cell>
          <cell r="B14" t="str">
            <v> (KM3.PO2.26)</v>
          </cell>
          <cell r="C14" t="str">
            <v>42072-066 (KM3.PO2.26)</v>
          </cell>
          <cell r="D14">
            <v>3.2</v>
          </cell>
          <cell r="E14">
            <v>8.2</v>
          </cell>
        </row>
        <row r="15">
          <cell r="A15" t="str">
            <v>42072-1ZI</v>
          </cell>
        </row>
        <row r="15">
          <cell r="C15" t="str">
            <v>42072-1ZI</v>
          </cell>
          <cell r="D15">
            <v>3.19</v>
          </cell>
          <cell r="E15">
            <v>8.2</v>
          </cell>
        </row>
        <row r="16">
          <cell r="A16" t="str">
            <v>42072-267</v>
          </cell>
          <cell r="B16" t="str">
            <v> (KM3.PO2.26)</v>
          </cell>
          <cell r="C16" t="str">
            <v>42072-267 (KM3.PO2.26)</v>
          </cell>
          <cell r="D16">
            <v>3.2</v>
          </cell>
          <cell r="E16">
            <v>8.2</v>
          </cell>
        </row>
        <row r="17">
          <cell r="A17" t="str">
            <v>42072-410</v>
          </cell>
          <cell r="B17" t="str">
            <v> (KM3.PO2.26)</v>
          </cell>
          <cell r="C17" t="str">
            <v>42072-410 (KM3.PO2.26)</v>
          </cell>
          <cell r="D17">
            <v>3.2</v>
          </cell>
          <cell r="E17">
            <v>8.2</v>
          </cell>
        </row>
        <row r="18">
          <cell r="A18" t="str">
            <v>42073-030</v>
          </cell>
          <cell r="B18" t="str">
            <v> (KM3.PO2.26)</v>
          </cell>
          <cell r="C18" t="str">
            <v>42073-030 (KM3.PO2.26)</v>
          </cell>
          <cell r="D18">
            <v>3.2</v>
          </cell>
          <cell r="E18">
            <v>8.2</v>
          </cell>
        </row>
        <row r="19">
          <cell r="A19" t="str">
            <v>42073-060</v>
          </cell>
          <cell r="B19" t="str">
            <v> (KM3.PO2.26)</v>
          </cell>
          <cell r="C19" t="str">
            <v>42073-060 (KM3.PO2.26)</v>
          </cell>
          <cell r="D19">
            <v>3.2</v>
          </cell>
          <cell r="E19">
            <v>8.2</v>
          </cell>
        </row>
        <row r="20">
          <cell r="A20" t="str">
            <v>42073-066</v>
          </cell>
          <cell r="B20" t="str">
            <v> (KM3.PO2.26)</v>
          </cell>
          <cell r="C20" t="str">
            <v>42073-066 (KM3.PO2.26)</v>
          </cell>
          <cell r="D20">
            <v>3.2</v>
          </cell>
          <cell r="E20">
            <v>8.2</v>
          </cell>
        </row>
        <row r="21">
          <cell r="A21" t="str">
            <v>42073-267</v>
          </cell>
          <cell r="B21" t="str">
            <v> (KM3.PO2.26)</v>
          </cell>
          <cell r="C21" t="str">
            <v>42073-267 (KM3.PO2.26)</v>
          </cell>
          <cell r="D21">
            <v>3.2</v>
          </cell>
          <cell r="E21">
            <v>8.2</v>
          </cell>
        </row>
        <row r="22">
          <cell r="A22" t="str">
            <v>42073-410</v>
          </cell>
          <cell r="B22" t="str">
            <v> (KM3.PO2.26)</v>
          </cell>
          <cell r="C22" t="str">
            <v>42073-410 (KM3.PO2.26)</v>
          </cell>
          <cell r="D22">
            <v>3.2</v>
          </cell>
          <cell r="E22">
            <v>8.2</v>
          </cell>
        </row>
        <row r="23">
          <cell r="A23" t="str">
            <v>44316-0C4</v>
          </cell>
          <cell r="B23" t="str">
            <v> (KM3.PO2.26)</v>
          </cell>
          <cell r="C23" t="str">
            <v>44316-0C4 (KM3.PO2.26)</v>
          </cell>
          <cell r="D23">
            <v>2.99</v>
          </cell>
          <cell r="E23">
            <v>8</v>
          </cell>
        </row>
        <row r="24">
          <cell r="A24" t="str">
            <v>45187-1WQ</v>
          </cell>
          <cell r="B24" t="str">
            <v> (KM3.PO2.26)</v>
          </cell>
          <cell r="C24" t="str">
            <v>45187-1WQ (KM3.PO2.26)</v>
          </cell>
          <cell r="D24">
            <v>3.02</v>
          </cell>
          <cell r="E24">
            <v>8.2</v>
          </cell>
        </row>
        <row r="25">
          <cell r="A25" t="str">
            <v>45187-3AW</v>
          </cell>
          <cell r="B25" t="str">
            <v> (KM3.PO2.26)</v>
          </cell>
          <cell r="C25" t="str">
            <v>45187-3AW (KM3.PO2.26)</v>
          </cell>
          <cell r="D25">
            <v>3.02</v>
          </cell>
          <cell r="E25">
            <v>8.2</v>
          </cell>
        </row>
        <row r="26">
          <cell r="A26" t="str">
            <v>45187-4ZV</v>
          </cell>
          <cell r="B26" t="str">
            <v> (KM3.PO2.26)</v>
          </cell>
          <cell r="C26" t="str">
            <v>45187-4ZV (KM3.PO2.26)</v>
          </cell>
          <cell r="D26">
            <v>3.02</v>
          </cell>
          <cell r="E26">
            <v>8.2</v>
          </cell>
        </row>
        <row r="27">
          <cell r="A27" t="str">
            <v>45187-6ZZ</v>
          </cell>
        </row>
        <row r="27">
          <cell r="C27" t="str">
            <v>45187-6ZZ</v>
          </cell>
          <cell r="D27">
            <v>3.02</v>
          </cell>
          <cell r="E27">
            <v>8.2</v>
          </cell>
        </row>
        <row r="28">
          <cell r="A28" t="str">
            <v>45414-0CU</v>
          </cell>
        </row>
        <row r="28">
          <cell r="C28" t="str">
            <v>45414-0CU</v>
          </cell>
          <cell r="D28">
            <v>3.02</v>
          </cell>
          <cell r="E28">
            <v>8.4</v>
          </cell>
        </row>
        <row r="29">
          <cell r="A29" t="str">
            <v>45777-7BR</v>
          </cell>
          <cell r="B29" t="str">
            <v> (KM3.PO2.26)</v>
          </cell>
          <cell r="C29" t="str">
            <v>45777-7BR (KM3.PO2.26)</v>
          </cell>
          <cell r="D29">
            <v>2.99</v>
          </cell>
          <cell r="E29">
            <v>8</v>
          </cell>
        </row>
        <row r="30">
          <cell r="A30" t="str">
            <v>45865-0C4</v>
          </cell>
          <cell r="B30" t="str">
            <v> (KM3.PO2.26)</v>
          </cell>
          <cell r="C30" t="str">
            <v>45865-0C4 (KM3.PO2.26)</v>
          </cell>
          <cell r="D30">
            <v>3</v>
          </cell>
          <cell r="E30">
            <v>8.1</v>
          </cell>
        </row>
        <row r="31">
          <cell r="A31" t="str">
            <v>45865-2NX</v>
          </cell>
          <cell r="B31" t="str">
            <v> (KM3.PO2.26)</v>
          </cell>
          <cell r="C31" t="str">
            <v>45865-2NX (KM3.PO2.26)</v>
          </cell>
          <cell r="D31">
            <v>3</v>
          </cell>
          <cell r="E31">
            <v>8.1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L45"/>
  <sheetViews>
    <sheetView tabSelected="1" view="pageBreakPreview" zoomScaleNormal="100" topLeftCell="A9" workbookViewId="0">
      <selection activeCell="D45" sqref="D45"/>
    </sheetView>
  </sheetViews>
  <sheetFormatPr defaultColWidth="9" defaultRowHeight="15.75"/>
  <cols>
    <col min="1" max="1" width="10.5" style="55" customWidth="1"/>
    <col min="2" max="2" width="9.16666666666667" style="55" customWidth="1"/>
    <col min="3" max="3" width="45.5" style="56" customWidth="1"/>
    <col min="4" max="4" width="90.8333333333333" style="55" customWidth="1"/>
    <col min="5" max="5" width="18" style="55" customWidth="1"/>
    <col min="6" max="6" width="9.66666666666667" style="55" customWidth="1"/>
    <col min="7" max="8" width="13.1666666666667" style="55" customWidth="1"/>
    <col min="9" max="9" width="39.8333333333333" style="55" customWidth="1"/>
    <col min="10" max="10" width="39" style="55" customWidth="1"/>
    <col min="11" max="11" width="13.1666666666667" style="55" customWidth="1"/>
    <col min="12" max="12" width="12.1666666666667" style="55" customWidth="1"/>
    <col min="13" max="16384" width="9.33333333333333" style="55"/>
  </cols>
  <sheetData>
    <row r="1" ht="33" customHeight="1" spans="1:12"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8"/>
    </row>
    <row r="2" ht="33" customHeight="1" spans="1:12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8"/>
    </row>
    <row r="3" ht="27.95" customHeight="1" spans="1:12">
      <c r="B3" s="60" t="s">
        <v>2</v>
      </c>
      <c r="C3" s="60"/>
      <c r="D3" s="60"/>
      <c r="E3" s="60"/>
      <c r="F3" s="60"/>
      <c r="G3" s="60"/>
      <c r="H3" s="60"/>
      <c r="I3" s="60"/>
      <c r="J3" s="60"/>
    </row>
    <row r="4" ht="34.5" customHeight="1" spans="1:12">
      <c r="B4" s="61"/>
      <c r="C4" s="62" t="s">
        <v>3</v>
      </c>
      <c r="D4" s="63" t="s">
        <v>4</v>
      </c>
      <c r="E4" s="63"/>
      <c r="F4" s="63"/>
      <c r="G4" s="63"/>
      <c r="H4" s="63"/>
      <c r="I4" s="64" t="s">
        <v>5</v>
      </c>
      <c r="J4" s="65" t="s">
        <v>6</v>
      </c>
    </row>
    <row r="5" ht="36" customHeight="1" spans="1:12">
      <c r="B5" s="61"/>
      <c r="C5" s="62" t="s">
        <v>7</v>
      </c>
      <c r="D5" s="63" t="s">
        <v>8</v>
      </c>
      <c r="E5" s="63"/>
      <c r="F5" s="63"/>
      <c r="G5" s="63"/>
      <c r="H5" s="63"/>
      <c r="I5" s="64" t="s">
        <v>9</v>
      </c>
      <c r="J5" s="65" t="s">
        <v>10</v>
      </c>
    </row>
    <row r="6" ht="20.25" customHeight="1" spans="1:12">
      <c r="B6" s="61"/>
      <c r="C6" s="62"/>
      <c r="D6" s="63" t="s">
        <v>11</v>
      </c>
      <c r="E6" s="63"/>
      <c r="F6" s="63"/>
      <c r="G6" s="63"/>
      <c r="H6" s="63"/>
      <c r="I6" s="66" t="s">
        <v>12</v>
      </c>
      <c r="J6" s="66"/>
    </row>
    <row r="7" ht="20.25" customHeight="1" spans="1:12">
      <c r="B7" s="61"/>
      <c r="C7" s="62"/>
      <c r="D7" s="63"/>
      <c r="E7" s="63"/>
      <c r="F7" s="63"/>
      <c r="G7" s="63"/>
      <c r="H7" s="63"/>
      <c r="I7" s="67" t="s">
        <v>13</v>
      </c>
      <c r="J7" s="66" t="s">
        <v>14</v>
      </c>
    </row>
    <row r="8" ht="36.75" customHeight="1" spans="1:12">
      <c r="B8" s="61"/>
      <c r="C8" s="62" t="s">
        <v>15</v>
      </c>
      <c r="D8" s="63" t="s">
        <v>0</v>
      </c>
      <c r="E8" s="63"/>
      <c r="F8" s="63"/>
      <c r="G8" s="63"/>
      <c r="H8" s="63"/>
      <c r="I8" s="67" t="s">
        <v>16</v>
      </c>
      <c r="J8" s="66" t="s">
        <v>17</v>
      </c>
    </row>
    <row r="9" ht="18.75" customHeight="1" spans="1:12">
      <c r="B9" s="61"/>
      <c r="C9" s="62" t="s">
        <v>7</v>
      </c>
      <c r="D9" s="63" t="s">
        <v>18</v>
      </c>
      <c r="E9" s="63"/>
      <c r="F9" s="63"/>
      <c r="G9" s="63"/>
      <c r="H9" s="63"/>
      <c r="I9" s="65" t="s">
        <v>19</v>
      </c>
      <c r="J9" s="66" t="s">
        <v>20</v>
      </c>
    </row>
    <row r="10" ht="18.75" customHeight="1" spans="1:12">
      <c r="B10" s="61"/>
      <c r="C10" s="68"/>
      <c r="D10" s="63" t="s">
        <v>21</v>
      </c>
      <c r="E10" s="63"/>
      <c r="F10" s="63"/>
      <c r="G10" s="63"/>
      <c r="H10" s="63"/>
      <c r="I10" s="61"/>
      <c r="J10" s="61"/>
    </row>
    <row r="11" ht="42.75" customHeight="1" spans="1:12">
      <c r="B11" s="69" t="s">
        <v>22</v>
      </c>
      <c r="C11" s="69" t="s">
        <v>23</v>
      </c>
      <c r="D11" s="69" t="s">
        <v>24</v>
      </c>
      <c r="E11" s="69" t="s">
        <v>25</v>
      </c>
      <c r="F11" s="69" t="s">
        <v>26</v>
      </c>
      <c r="G11" s="69" t="s">
        <v>27</v>
      </c>
      <c r="H11" s="69"/>
      <c r="I11" s="69" t="s">
        <v>28</v>
      </c>
      <c r="J11" s="69"/>
    </row>
    <row r="12" ht="42.75" customHeight="1" spans="1:12">
      <c r="B12" s="69"/>
      <c r="C12" s="69"/>
      <c r="D12" s="69"/>
      <c r="E12" s="69"/>
      <c r="F12" s="69"/>
      <c r="G12" s="69" t="s">
        <v>29</v>
      </c>
      <c r="H12" s="69" t="s">
        <v>30</v>
      </c>
      <c r="I12" s="69" t="s">
        <v>29</v>
      </c>
      <c r="J12" s="69" t="s">
        <v>30</v>
      </c>
    </row>
    <row r="13" ht="42" hidden="1" customHeight="1" spans="1:12">
      <c r="B13" s="70">
        <f>IF(C13="","",SUBTOTAL(103,$C$13:C13))</f>
        <v>0</v>
      </c>
      <c r="C13" s="26" t="s">
        <v>31</v>
      </c>
      <c r="D13" s="27" t="s">
        <v>32</v>
      </c>
      <c r="E13" s="28"/>
      <c r="F13" s="69" t="s">
        <v>33</v>
      </c>
      <c r="G13" s="71">
        <v>3.2</v>
      </c>
      <c r="H13" s="71">
        <v>8.2</v>
      </c>
      <c r="I13" s="71">
        <f>G13*E13</f>
        <v>0</v>
      </c>
      <c r="J13" s="71">
        <f>H13*E13</f>
        <v>0</v>
      </c>
      <c r="K13" s="72">
        <f t="shared" ref="K13:K39" si="0">E13/12</f>
        <v>0</v>
      </c>
      <c r="L13" s="73"/>
    </row>
    <row r="14" ht="42" hidden="1" customHeight="1" spans="1:12">
      <c r="B14" s="70">
        <f>IF(C14="","",SUBTOTAL(103,$C$13:C14))</f>
        <v>0</v>
      </c>
      <c r="C14" s="26" t="s">
        <v>34</v>
      </c>
      <c r="D14" s="27" t="s">
        <v>32</v>
      </c>
      <c r="E14" s="28"/>
      <c r="F14" s="69" t="s">
        <v>33</v>
      </c>
      <c r="G14" s="71">
        <v>3.2</v>
      </c>
      <c r="H14" s="71">
        <v>8.2</v>
      </c>
      <c r="I14" s="71">
        <f t="shared" ref="I14:I41" si="1">G14*E14</f>
        <v>0</v>
      </c>
      <c r="J14" s="71">
        <f t="shared" ref="J14:J41" si="2">H14*E14</f>
        <v>0</v>
      </c>
      <c r="K14" s="72">
        <f t="shared" si="0"/>
        <v>0</v>
      </c>
      <c r="L14" s="73"/>
    </row>
    <row r="15" ht="42" hidden="1" customHeight="1" spans="1:12">
      <c r="B15" s="70">
        <f>IF(C15="","",SUBTOTAL(103,$C$13:C15))</f>
        <v>0</v>
      </c>
      <c r="C15" s="26" t="s">
        <v>35</v>
      </c>
      <c r="D15" s="27" t="s">
        <v>32</v>
      </c>
      <c r="E15" s="28"/>
      <c r="F15" s="69" t="s">
        <v>33</v>
      </c>
      <c r="G15" s="71">
        <v>3.2</v>
      </c>
      <c r="H15" s="71">
        <v>8.2</v>
      </c>
      <c r="I15" s="71">
        <f t="shared" si="1"/>
        <v>0</v>
      </c>
      <c r="J15" s="71">
        <f t="shared" si="2"/>
        <v>0</v>
      </c>
      <c r="K15" s="72">
        <f t="shared" si="0"/>
        <v>0</v>
      </c>
      <c r="L15" s="73"/>
    </row>
    <row r="16" ht="42" hidden="1" customHeight="1" spans="1:12">
      <c r="A16" s="55">
        <v>7</v>
      </c>
      <c r="B16" s="70">
        <f>IF(C16="","",SUBTOTAL(103,$C$13:C16))</f>
        <v>0</v>
      </c>
      <c r="C16" s="26" t="s">
        <v>36</v>
      </c>
      <c r="D16" s="27" t="s">
        <v>32</v>
      </c>
      <c r="E16" s="28"/>
      <c r="F16" s="69" t="s">
        <v>33</v>
      </c>
      <c r="G16" s="71">
        <v>3</v>
      </c>
      <c r="H16" s="71">
        <v>8.1</v>
      </c>
      <c r="I16" s="71">
        <f t="shared" si="1"/>
        <v>0</v>
      </c>
      <c r="J16" s="71">
        <f t="shared" si="2"/>
        <v>0</v>
      </c>
      <c r="K16" s="72">
        <f t="shared" si="0"/>
        <v>0</v>
      </c>
      <c r="L16" s="73"/>
    </row>
    <row r="17" ht="42" hidden="1" customHeight="1" spans="1:12">
      <c r="B17" s="70">
        <f>IF(C17="","",SUBTOTAL(103,$C$13:C17))</f>
        <v>0</v>
      </c>
      <c r="C17" s="26" t="s">
        <v>37</v>
      </c>
      <c r="D17" s="27" t="s">
        <v>32</v>
      </c>
      <c r="E17" s="28"/>
      <c r="F17" s="69" t="s">
        <v>33</v>
      </c>
      <c r="G17" s="71">
        <v>3.2</v>
      </c>
      <c r="H17" s="71">
        <v>8.2</v>
      </c>
      <c r="I17" s="71">
        <f t="shared" si="1"/>
        <v>0</v>
      </c>
      <c r="J17" s="71">
        <f t="shared" si="2"/>
        <v>0</v>
      </c>
      <c r="K17" s="72">
        <f t="shared" si="0"/>
        <v>0</v>
      </c>
      <c r="L17" s="73"/>
    </row>
    <row r="18" ht="42" hidden="1" customHeight="1" spans="1:12">
      <c r="B18" s="70">
        <f>IF(C18="","",SUBTOTAL(103,$C$13:C18))</f>
        <v>0</v>
      </c>
      <c r="C18" s="26" t="s">
        <v>38</v>
      </c>
      <c r="D18" s="27" t="s">
        <v>32</v>
      </c>
      <c r="E18" s="28"/>
      <c r="F18" s="69" t="s">
        <v>33</v>
      </c>
      <c r="G18" s="71">
        <v>3</v>
      </c>
      <c r="H18" s="71">
        <v>8.1</v>
      </c>
      <c r="I18" s="71">
        <f t="shared" si="1"/>
        <v>0</v>
      </c>
      <c r="J18" s="71">
        <f t="shared" si="2"/>
        <v>0</v>
      </c>
      <c r="K18" s="72">
        <f t="shared" si="0"/>
        <v>0</v>
      </c>
      <c r="L18" s="73"/>
    </row>
    <row r="19" ht="42" hidden="1" customHeight="1" spans="1:12">
      <c r="A19" s="55">
        <v>10</v>
      </c>
      <c r="B19" s="70">
        <f>IF(C19="","",SUBTOTAL(103,$C$13:C19))</f>
        <v>0</v>
      </c>
      <c r="C19" s="26" t="s">
        <v>39</v>
      </c>
      <c r="D19" s="27" t="s">
        <v>32</v>
      </c>
      <c r="E19" s="28"/>
      <c r="F19" s="69" t="s">
        <v>33</v>
      </c>
      <c r="G19" s="71">
        <v>3</v>
      </c>
      <c r="H19" s="71">
        <v>8.1</v>
      </c>
      <c r="I19" s="71">
        <f t="shared" si="1"/>
        <v>0</v>
      </c>
      <c r="J19" s="71">
        <f t="shared" si="2"/>
        <v>0</v>
      </c>
      <c r="K19" s="72">
        <f t="shared" si="0"/>
        <v>0</v>
      </c>
      <c r="L19" s="73"/>
    </row>
    <row r="20" ht="42" hidden="1" customHeight="1" spans="1:12">
      <c r="A20" s="55">
        <v>11</v>
      </c>
      <c r="B20" s="70">
        <f>IF(C20="","",SUBTOTAL(103,$C$13:C20))</f>
        <v>0</v>
      </c>
      <c r="C20" s="26" t="s">
        <v>40</v>
      </c>
      <c r="D20" s="27" t="s">
        <v>32</v>
      </c>
      <c r="E20" s="28"/>
      <c r="F20" s="69" t="s">
        <v>33</v>
      </c>
      <c r="G20" s="71">
        <v>3</v>
      </c>
      <c r="H20" s="71">
        <v>8.1</v>
      </c>
      <c r="I20" s="71">
        <f t="shared" si="1"/>
        <v>0</v>
      </c>
      <c r="J20" s="71">
        <f t="shared" si="2"/>
        <v>0</v>
      </c>
      <c r="K20" s="72">
        <f t="shared" si="0"/>
        <v>0</v>
      </c>
      <c r="L20" s="73"/>
    </row>
    <row r="21" ht="42" hidden="1" customHeight="1" spans="1:12">
      <c r="A21" s="55">
        <v>12</v>
      </c>
      <c r="B21" s="70">
        <f>IF(C21="","",SUBTOTAL(103,$C$13:C21))</f>
        <v>0</v>
      </c>
      <c r="C21" s="26" t="s">
        <v>41</v>
      </c>
      <c r="D21" s="27" t="s">
        <v>32</v>
      </c>
      <c r="E21" s="28"/>
      <c r="F21" s="69" t="s">
        <v>33</v>
      </c>
      <c r="G21" s="71">
        <v>3.2</v>
      </c>
      <c r="H21" s="71">
        <v>8.2</v>
      </c>
      <c r="I21" s="71">
        <f t="shared" si="1"/>
        <v>0</v>
      </c>
      <c r="J21" s="71">
        <f t="shared" si="2"/>
        <v>0</v>
      </c>
      <c r="K21" s="72">
        <f t="shared" si="0"/>
        <v>0</v>
      </c>
      <c r="L21" s="73"/>
    </row>
    <row r="22" ht="42" hidden="1" customHeight="1" spans="1:12">
      <c r="A22" s="55">
        <v>13</v>
      </c>
      <c r="B22" s="70">
        <f>IF(C22="","",SUBTOTAL(103,$C$13:C22))</f>
        <v>0</v>
      </c>
      <c r="C22" s="26" t="s">
        <v>42</v>
      </c>
      <c r="D22" s="27" t="s">
        <v>32</v>
      </c>
      <c r="E22" s="28"/>
      <c r="F22" s="69" t="s">
        <v>33</v>
      </c>
      <c r="G22" s="71">
        <v>3.2</v>
      </c>
      <c r="H22" s="71">
        <v>8.2</v>
      </c>
      <c r="I22" s="71">
        <f t="shared" si="1"/>
        <v>0</v>
      </c>
      <c r="J22" s="71">
        <f t="shared" si="2"/>
        <v>0</v>
      </c>
      <c r="K22" s="72">
        <f t="shared" si="0"/>
        <v>0</v>
      </c>
      <c r="L22" s="73"/>
    </row>
    <row r="23" ht="42" hidden="1" customHeight="1" spans="1:12">
      <c r="A23" s="55">
        <v>14</v>
      </c>
      <c r="B23" s="70">
        <f>IF(C23="","",SUBTOTAL(103,$C$13:C23))</f>
        <v>0</v>
      </c>
      <c r="C23" s="26" t="s">
        <v>43</v>
      </c>
      <c r="D23" s="27" t="s">
        <v>32</v>
      </c>
      <c r="E23" s="28"/>
      <c r="F23" s="69" t="s">
        <v>33</v>
      </c>
      <c r="G23" s="71">
        <v>3.2</v>
      </c>
      <c r="H23" s="71">
        <v>8.2</v>
      </c>
      <c r="I23" s="71">
        <f t="shared" si="1"/>
        <v>0</v>
      </c>
      <c r="J23" s="71">
        <f t="shared" si="2"/>
        <v>0</v>
      </c>
      <c r="K23" s="72">
        <f t="shared" si="0"/>
        <v>0</v>
      </c>
      <c r="L23" s="73"/>
    </row>
    <row r="24" ht="42" hidden="1" customHeight="1" spans="1:12">
      <c r="B24" s="70">
        <f>IF(C24="","",SUBTOTAL(103,$C$13:C24))</f>
        <v>0</v>
      </c>
      <c r="C24" s="26" t="s">
        <v>44</v>
      </c>
      <c r="D24" s="27" t="s">
        <v>32</v>
      </c>
      <c r="E24" s="28"/>
      <c r="F24" s="69" t="s">
        <v>33</v>
      </c>
      <c r="G24" s="71">
        <v>3.2</v>
      </c>
      <c r="H24" s="71">
        <v>8.2</v>
      </c>
      <c r="I24" s="71">
        <f t="shared" si="1"/>
        <v>0</v>
      </c>
      <c r="J24" s="71">
        <f t="shared" si="2"/>
        <v>0</v>
      </c>
      <c r="K24" s="72">
        <f t="shared" si="0"/>
        <v>0</v>
      </c>
      <c r="L24" s="73"/>
    </row>
    <row r="25" ht="42" hidden="1" customHeight="1" spans="1:12">
      <c r="B25" s="70">
        <f>IF(C25="","",SUBTOTAL(103,$C$13:C25))</f>
        <v>0</v>
      </c>
      <c r="C25" s="26" t="s">
        <v>45</v>
      </c>
      <c r="D25" s="27" t="s">
        <v>32</v>
      </c>
      <c r="E25" s="28"/>
      <c r="F25" s="69" t="s">
        <v>33</v>
      </c>
      <c r="G25" s="71">
        <v>3.02</v>
      </c>
      <c r="H25" s="71">
        <v>8.2</v>
      </c>
      <c r="I25" s="71">
        <f t="shared" si="1"/>
        <v>0</v>
      </c>
      <c r="J25" s="71">
        <f t="shared" si="2"/>
        <v>0</v>
      </c>
      <c r="K25" s="72"/>
      <c r="L25" s="73"/>
    </row>
    <row r="26" ht="42" hidden="1" customHeight="1" spans="1:12">
      <c r="B26" s="70">
        <f>IF(C26="","",SUBTOTAL(103,$C$13:C26))</f>
        <v>0</v>
      </c>
      <c r="C26" s="26" t="s">
        <v>46</v>
      </c>
      <c r="D26" s="27" t="s">
        <v>32</v>
      </c>
      <c r="E26" s="28"/>
      <c r="F26" s="69" t="s">
        <v>33</v>
      </c>
      <c r="G26" s="71">
        <v>3.02</v>
      </c>
      <c r="H26" s="71">
        <v>8.2</v>
      </c>
      <c r="I26" s="71">
        <f t="shared" si="1"/>
        <v>0</v>
      </c>
      <c r="J26" s="71">
        <f t="shared" si="2"/>
        <v>0</v>
      </c>
      <c r="K26" s="72">
        <f t="shared" si="0"/>
        <v>0</v>
      </c>
      <c r="L26" s="73"/>
    </row>
    <row r="27" ht="42" hidden="1" customHeight="1" spans="1:12">
      <c r="B27" s="70">
        <f>IF(C27="","",SUBTOTAL(103,$C$13:C27))</f>
        <v>0</v>
      </c>
      <c r="C27" s="26" t="s">
        <v>47</v>
      </c>
      <c r="D27" s="27" t="s">
        <v>32</v>
      </c>
      <c r="E27" s="28"/>
      <c r="F27" s="69" t="s">
        <v>33</v>
      </c>
      <c r="G27" s="71">
        <v>3.2</v>
      </c>
      <c r="H27" s="71">
        <v>8.2</v>
      </c>
      <c r="I27" s="71">
        <f t="shared" si="1"/>
        <v>0</v>
      </c>
      <c r="J27" s="71">
        <f t="shared" si="2"/>
        <v>0</v>
      </c>
      <c r="K27" s="72">
        <f t="shared" si="0"/>
        <v>0</v>
      </c>
      <c r="L27" s="73"/>
    </row>
    <row r="28" ht="42" hidden="1" customHeight="1" spans="1:12">
      <c r="B28" s="70">
        <f>IF(C28="","",SUBTOTAL(103,$C$13:C28))</f>
        <v>0</v>
      </c>
      <c r="C28" s="26" t="s">
        <v>48</v>
      </c>
      <c r="D28" s="27" t="s">
        <v>32</v>
      </c>
      <c r="E28" s="28"/>
      <c r="F28" s="69" t="s">
        <v>33</v>
      </c>
      <c r="G28" s="71">
        <v>2.99</v>
      </c>
      <c r="H28" s="71">
        <v>8</v>
      </c>
      <c r="I28" s="71">
        <f t="shared" si="1"/>
        <v>0</v>
      </c>
      <c r="J28" s="71">
        <f t="shared" si="2"/>
        <v>0</v>
      </c>
      <c r="K28" s="72">
        <f t="shared" si="0"/>
        <v>0</v>
      </c>
      <c r="L28" s="73"/>
    </row>
    <row r="29" ht="42" hidden="1" customHeight="1" spans="1:12">
      <c r="B29" s="70">
        <f>IF(C29="","",SUBTOTAL(103,$C$13:C29))</f>
        <v>0</v>
      </c>
      <c r="C29" s="26" t="s">
        <v>49</v>
      </c>
      <c r="D29" s="27" t="s">
        <v>32</v>
      </c>
      <c r="E29" s="28"/>
      <c r="F29" s="69" t="s">
        <v>33</v>
      </c>
      <c r="G29" s="71">
        <v>3</v>
      </c>
      <c r="H29" s="71">
        <v>8.1</v>
      </c>
      <c r="I29" s="71">
        <f t="shared" si="1"/>
        <v>0</v>
      </c>
      <c r="J29" s="71">
        <f t="shared" si="2"/>
        <v>0</v>
      </c>
      <c r="K29" s="72"/>
      <c r="L29" s="73"/>
    </row>
    <row r="30" ht="42" hidden="1" customHeight="1" spans="1:12">
      <c r="B30" s="70">
        <f>IF(C30="","",SUBTOTAL(103,$C$13:C30))</f>
        <v>0</v>
      </c>
      <c r="C30" s="26" t="s">
        <v>50</v>
      </c>
      <c r="D30" s="27" t="s">
        <v>32</v>
      </c>
      <c r="E30" s="28"/>
      <c r="F30" s="69" t="s">
        <v>33</v>
      </c>
      <c r="G30" s="71">
        <v>1.16</v>
      </c>
      <c r="H30" s="71">
        <v>8.1</v>
      </c>
      <c r="I30" s="71">
        <f t="shared" si="1"/>
        <v>0</v>
      </c>
      <c r="J30" s="71">
        <f t="shared" si="2"/>
        <v>0</v>
      </c>
      <c r="K30" s="72">
        <f>E30/12</f>
        <v>0</v>
      </c>
      <c r="L30" s="73"/>
    </row>
    <row r="31" ht="42" customHeight="1" spans="1:12">
      <c r="B31" s="70">
        <f>IF(C31="","",SUBTOTAL(103,$C$13:C31))</f>
        <v>1</v>
      </c>
      <c r="C31" s="26" t="s">
        <v>51</v>
      </c>
      <c r="D31" s="27" t="s">
        <v>32</v>
      </c>
      <c r="E31" s="28">
        <v>2148</v>
      </c>
      <c r="F31" s="69" t="s">
        <v>33</v>
      </c>
      <c r="G31" s="71">
        <v>1.16</v>
      </c>
      <c r="H31" s="71">
        <v>8.1</v>
      </c>
      <c r="I31" s="71">
        <f t="shared" ref="I31" si="3">G31*E31</f>
        <v>2491.68</v>
      </c>
      <c r="J31" s="71">
        <f t="shared" ref="J31" si="4">H31*E31</f>
        <v>17398.8</v>
      </c>
      <c r="K31" s="72">
        <f>E31/12</f>
        <v>179</v>
      </c>
      <c r="L31" s="73"/>
    </row>
    <row r="32" ht="42" hidden="1" customHeight="1" spans="1:12">
      <c r="B32" s="70">
        <f>IF(C32="","",SUBTOTAL(103,$C$13:C32))</f>
        <v>1</v>
      </c>
      <c r="C32" s="26" t="s">
        <v>52</v>
      </c>
      <c r="D32" s="27" t="s">
        <v>32</v>
      </c>
      <c r="E32" s="28"/>
      <c r="F32" s="69" t="s">
        <v>33</v>
      </c>
      <c r="G32" s="71">
        <v>1.16</v>
      </c>
      <c r="H32" s="71">
        <v>7.2</v>
      </c>
      <c r="I32" s="71">
        <f t="shared" si="1"/>
        <v>0</v>
      </c>
      <c r="J32" s="71">
        <f t="shared" si="2"/>
        <v>0</v>
      </c>
      <c r="K32" s="72">
        <f t="shared" si="0"/>
        <v>0</v>
      </c>
      <c r="L32" s="73"/>
    </row>
    <row r="33" ht="42" customHeight="1" spans="1:12">
      <c r="A33" s="55">
        <v>16</v>
      </c>
      <c r="B33" s="70">
        <f>IF(C33="","",SUBTOTAL(103,$C$13:C33))</f>
        <v>2</v>
      </c>
      <c r="C33" s="26" t="s">
        <v>53</v>
      </c>
      <c r="D33" s="27" t="s">
        <v>32</v>
      </c>
      <c r="E33" s="28">
        <v>852</v>
      </c>
      <c r="F33" s="69" t="s">
        <v>33</v>
      </c>
      <c r="G33" s="71">
        <v>1.16</v>
      </c>
      <c r="H33" s="71">
        <v>7.2</v>
      </c>
      <c r="I33" s="71">
        <f t="shared" si="1"/>
        <v>988.32</v>
      </c>
      <c r="J33" s="71">
        <f t="shared" si="2"/>
        <v>6134.4</v>
      </c>
      <c r="K33" s="72">
        <f t="shared" si="0"/>
        <v>71</v>
      </c>
      <c r="L33" s="73"/>
    </row>
    <row r="34" ht="42" hidden="1" customHeight="1" spans="1:12">
      <c r="A34" s="55">
        <v>18</v>
      </c>
      <c r="B34" s="70">
        <f>IF(C34="","",SUBTOTAL(103,$C$13:C34))</f>
        <v>2</v>
      </c>
      <c r="C34" s="26" t="s">
        <v>54</v>
      </c>
      <c r="D34" s="27" t="s">
        <v>32</v>
      </c>
      <c r="E34" s="28"/>
      <c r="F34" s="69" t="s">
        <v>33</v>
      </c>
      <c r="G34" s="71">
        <v>1.16</v>
      </c>
      <c r="H34" s="71">
        <v>7.2</v>
      </c>
      <c r="I34" s="71">
        <f t="shared" si="1"/>
        <v>0</v>
      </c>
      <c r="J34" s="71">
        <f t="shared" si="2"/>
        <v>0</v>
      </c>
      <c r="K34" s="72">
        <f t="shared" si="0"/>
        <v>0</v>
      </c>
      <c r="L34" s="73"/>
    </row>
    <row r="35" ht="42" hidden="1" customHeight="1" spans="1:12">
      <c r="A35" s="55">
        <v>19</v>
      </c>
      <c r="B35" s="70">
        <f>IF(C35="","",SUBTOTAL(103,$C$13:C35))</f>
        <v>2</v>
      </c>
      <c r="C35" s="26" t="s">
        <v>55</v>
      </c>
      <c r="D35" s="27" t="s">
        <v>32</v>
      </c>
      <c r="E35" s="28"/>
      <c r="F35" s="69" t="s">
        <v>33</v>
      </c>
      <c r="G35" s="71">
        <v>1.16</v>
      </c>
      <c r="H35" s="71">
        <v>7.2</v>
      </c>
      <c r="I35" s="71">
        <f t="shared" si="1"/>
        <v>0</v>
      </c>
      <c r="J35" s="71">
        <f t="shared" si="2"/>
        <v>0</v>
      </c>
      <c r="K35" s="72">
        <f t="shared" si="0"/>
        <v>0</v>
      </c>
      <c r="L35" s="73"/>
    </row>
    <row r="36" ht="42" hidden="1" customHeight="1" spans="1:12">
      <c r="A36" s="55">
        <v>20</v>
      </c>
      <c r="B36" s="70">
        <f>IF(C36="","",SUBTOTAL(103,$C$13:C36))</f>
        <v>2</v>
      </c>
      <c r="C36" s="26" t="s">
        <v>56</v>
      </c>
      <c r="D36" s="27" t="s">
        <v>32</v>
      </c>
      <c r="E36" s="28"/>
      <c r="F36" s="69" t="s">
        <v>33</v>
      </c>
      <c r="G36" s="71">
        <v>1.16</v>
      </c>
      <c r="H36" s="71">
        <v>7.2</v>
      </c>
      <c r="I36" s="71">
        <f t="shared" si="1"/>
        <v>0</v>
      </c>
      <c r="J36" s="71">
        <f t="shared" si="2"/>
        <v>0</v>
      </c>
      <c r="K36" s="72">
        <f t="shared" si="0"/>
        <v>0</v>
      </c>
      <c r="L36" s="73"/>
    </row>
    <row r="37" ht="42" hidden="1" customHeight="1" spans="1:12">
      <c r="B37" s="70">
        <f>IF(C37="","",SUBTOTAL(103,$C$13:C37))</f>
        <v>2</v>
      </c>
      <c r="C37" s="26" t="s">
        <v>57</v>
      </c>
      <c r="D37" s="27" t="s">
        <v>32</v>
      </c>
      <c r="E37" s="28"/>
      <c r="F37" s="69" t="s">
        <v>33</v>
      </c>
      <c r="G37" s="71">
        <v>1.16</v>
      </c>
      <c r="H37" s="71">
        <v>7.2</v>
      </c>
      <c r="I37" s="71">
        <f t="shared" si="1"/>
        <v>0</v>
      </c>
      <c r="J37" s="71">
        <f t="shared" si="2"/>
        <v>0</v>
      </c>
      <c r="K37" s="72">
        <f t="shared" si="0"/>
        <v>0</v>
      </c>
      <c r="L37" s="73"/>
    </row>
    <row r="38" ht="42" hidden="1" customHeight="1" spans="1:12">
      <c r="A38" s="55">
        <v>22</v>
      </c>
      <c r="B38" s="70">
        <f>IF(C38="","",SUBTOTAL(103,$C$13:C38))</f>
        <v>2</v>
      </c>
      <c r="C38" s="26" t="s">
        <v>58</v>
      </c>
      <c r="D38" s="27" t="s">
        <v>32</v>
      </c>
      <c r="E38" s="28"/>
      <c r="F38" s="69" t="s">
        <v>33</v>
      </c>
      <c r="G38" s="71">
        <v>1.16</v>
      </c>
      <c r="H38" s="71">
        <v>7.2</v>
      </c>
      <c r="I38" s="71">
        <f t="shared" si="1"/>
        <v>0</v>
      </c>
      <c r="J38" s="71">
        <f t="shared" si="2"/>
        <v>0</v>
      </c>
      <c r="K38" s="72">
        <f t="shared" si="0"/>
        <v>0</v>
      </c>
      <c r="L38" s="73"/>
    </row>
    <row r="39" ht="42" hidden="1" customHeight="1" spans="1:12">
      <c r="A39" s="55">
        <v>23</v>
      </c>
      <c r="B39" s="70">
        <f>IF(C39="","",SUBTOTAL(103,$C$13:C39))</f>
        <v>2</v>
      </c>
      <c r="C39" s="26" t="s">
        <v>59</v>
      </c>
      <c r="D39" s="27" t="s">
        <v>32</v>
      </c>
      <c r="E39" s="28"/>
      <c r="F39" s="69" t="s">
        <v>33</v>
      </c>
      <c r="G39" s="71">
        <v>1.16</v>
      </c>
      <c r="H39" s="71">
        <v>7.2</v>
      </c>
      <c r="I39" s="71">
        <f t="shared" si="1"/>
        <v>0</v>
      </c>
      <c r="J39" s="71">
        <f t="shared" si="2"/>
        <v>0</v>
      </c>
      <c r="K39" s="72">
        <f t="shared" si="0"/>
        <v>0</v>
      </c>
      <c r="L39" s="73"/>
    </row>
    <row r="40" ht="40.5" hidden="1" spans="1:12">
      <c r="B40" s="70">
        <f>IF(C40="","",SUBTOTAL(103,$C$13:C40))</f>
        <v>2</v>
      </c>
      <c r="C40" s="26" t="s">
        <v>60</v>
      </c>
      <c r="D40" s="27" t="s">
        <v>32</v>
      </c>
      <c r="E40" s="74"/>
      <c r="F40" s="69" t="s">
        <v>33</v>
      </c>
      <c r="G40" s="71">
        <v>1.16</v>
      </c>
      <c r="H40" s="71">
        <v>7.2</v>
      </c>
      <c r="I40" s="71">
        <f t="shared" si="1"/>
        <v>0</v>
      </c>
      <c r="J40" s="71">
        <f t="shared" si="2"/>
        <v>0</v>
      </c>
      <c r="K40" s="75"/>
    </row>
    <row r="41" ht="40.5" spans="1:12">
      <c r="B41" s="70">
        <f>IF(C41="","",SUBTOTAL(103,$C$13:C41))</f>
        <v>3</v>
      </c>
      <c r="C41" s="26" t="s">
        <v>61</v>
      </c>
      <c r="D41" s="27" t="s">
        <v>32</v>
      </c>
      <c r="E41" s="74">
        <v>1008</v>
      </c>
      <c r="F41" s="69" t="s">
        <v>33</v>
      </c>
      <c r="G41" s="71">
        <v>1.16</v>
      </c>
      <c r="H41" s="71">
        <v>7.2</v>
      </c>
      <c r="I41" s="71">
        <f t="shared" si="1"/>
        <v>1169.28</v>
      </c>
      <c r="J41" s="71">
        <f t="shared" si="2"/>
        <v>7257.6</v>
      </c>
      <c r="K41" s="75"/>
    </row>
    <row r="42" ht="25.5" customHeight="1" spans="1:12">
      <c r="B42" s="69" t="s">
        <v>62</v>
      </c>
      <c r="C42" s="69"/>
      <c r="D42" s="69"/>
      <c r="E42" s="74">
        <f>SUM(E13:E41)</f>
        <v>4008</v>
      </c>
      <c r="F42" s="74"/>
      <c r="G42" s="74"/>
      <c r="H42" s="74"/>
      <c r="I42" s="74">
        <f>SUM(I13:I41)</f>
        <v>4649.28</v>
      </c>
      <c r="J42" s="74">
        <f>SUM(J13:J41)</f>
        <v>30790.8</v>
      </c>
      <c r="K42" s="75"/>
    </row>
    <row r="43" ht="26.25" customHeight="1" spans="1:12">
      <c r="B43" s="76"/>
      <c r="C43" s="76"/>
      <c r="D43" s="76"/>
      <c r="E43" s="76"/>
      <c r="F43" s="76"/>
      <c r="G43" s="76"/>
      <c r="H43" s="76"/>
      <c r="I43" s="76"/>
      <c r="J43" s="76"/>
    </row>
    <row r="44" s="54" customFormat="1" ht="24" customHeight="1" spans="1:12">
      <c r="B44" s="66" t="s">
        <v>63</v>
      </c>
      <c r="C44" s="77"/>
    </row>
    <row r="45" ht="20.25" spans="1:12">
      <c r="G45" s="78"/>
      <c r="J45" s="66"/>
    </row>
  </sheetData>
  <autoFilter xmlns:etc="http://www.wps.cn/officeDocument/2017/etCustomData" ref="A12:L42" etc:filterBottomFollowUsedRange="0">
    <filterColumn colId="4">
      <filters>
        <filter val="1,008.00"/>
        <filter val="4,008.00"/>
        <filter val="852"/>
        <filter val="2,148"/>
      </filters>
    </filterColumn>
    <extLst/>
  </autoFilter>
  <mergeCells count="19">
    <mergeCell ref="B1:J1"/>
    <mergeCell ref="B2:J2"/>
    <mergeCell ref="B3:J3"/>
    <mergeCell ref="D4:H4"/>
    <mergeCell ref="D5:H5"/>
    <mergeCell ref="D6:H6"/>
    <mergeCell ref="D7:H7"/>
    <mergeCell ref="D8:H8"/>
    <mergeCell ref="D9:H9"/>
    <mergeCell ref="D10:H10"/>
    <mergeCell ref="G11:H11"/>
    <mergeCell ref="I11:J11"/>
    <mergeCell ref="B42:D42"/>
    <mergeCell ref="B43:J43"/>
    <mergeCell ref="B11:B12"/>
    <mergeCell ref="C11:C12"/>
    <mergeCell ref="D11:D12"/>
    <mergeCell ref="E11:E12"/>
    <mergeCell ref="F11:F12"/>
  </mergeCells>
  <pageMargins left="0.5" right="0.5" top="0.5" bottom="0.5" header="0" footer="0"/>
  <pageSetup paperSize="9" scale="37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78"/>
  <sheetViews>
    <sheetView view="pageBreakPreview" zoomScale="85" zoomScaleNormal="100" topLeftCell="A46" workbookViewId="0">
      <selection activeCell="B48" sqref="B48"/>
    </sheetView>
  </sheetViews>
  <sheetFormatPr defaultColWidth="9" defaultRowHeight="12.75"/>
  <cols>
    <col min="1" max="1" width="16.1666666666667" style="16" customWidth="1"/>
    <col min="2" max="2" width="45.1666666666667" style="16" customWidth="1"/>
    <col min="3" max="3" width="87.6666666666667" style="17" customWidth="1"/>
    <col min="4" max="4" width="20" style="16" customWidth="1"/>
    <col min="5" max="5" width="10.8333333333333" style="16" customWidth="1"/>
    <col min="6" max="6" width="15.6666666666667" style="16" customWidth="1"/>
    <col min="7" max="7" width="39.1666666666667" style="16" customWidth="1"/>
    <col min="8" max="8" width="38.3333333333333" style="16" customWidth="1"/>
    <col min="9" max="16384" width="9.33333333333333" style="16"/>
  </cols>
  <sheetData>
    <row r="1" ht="34.5" customHeight="1" spans="1:11">
      <c r="A1" s="18" t="s">
        <v>0</v>
      </c>
      <c r="B1" s="18"/>
      <c r="C1" s="18"/>
      <c r="D1" s="18"/>
      <c r="E1" s="18"/>
      <c r="F1" s="18"/>
      <c r="G1" s="18"/>
      <c r="H1" s="18"/>
    </row>
    <row r="2" ht="24.75" customHeight="1" spans="1:11">
      <c r="A2" s="19" t="s">
        <v>1</v>
      </c>
      <c r="B2" s="19"/>
      <c r="C2" s="19"/>
      <c r="D2" s="19"/>
      <c r="E2" s="19"/>
      <c r="F2" s="19"/>
      <c r="G2" s="19"/>
      <c r="H2" s="19"/>
    </row>
    <row r="3" ht="27.95" customHeight="1" spans="1:11">
      <c r="A3" s="18" t="s">
        <v>64</v>
      </c>
      <c r="B3" s="18"/>
      <c r="C3" s="18"/>
      <c r="D3" s="18"/>
      <c r="E3" s="18"/>
      <c r="F3" s="18"/>
      <c r="G3" s="18"/>
      <c r="H3" s="18"/>
    </row>
    <row r="4" ht="35.25" customHeight="1" spans="1:11">
      <c r="A4" s="20" t="s">
        <v>3</v>
      </c>
      <c r="B4" s="20"/>
      <c r="C4" s="21" t="s">
        <v>4</v>
      </c>
      <c r="D4" s="21"/>
      <c r="E4" s="21"/>
      <c r="F4" s="21"/>
      <c r="G4" s="20" t="s">
        <v>5</v>
      </c>
      <c r="H4" s="21" t="str">
        <f>INV!J4</f>
        <v>KMHD-NEW2026-0233</v>
      </c>
      <c r="J4" s="16" t="s">
        <v>65</v>
      </c>
    </row>
    <row r="5" ht="17.25" customHeight="1" spans="1:11">
      <c r="A5" s="20"/>
      <c r="B5" s="20" t="s">
        <v>7</v>
      </c>
      <c r="C5" s="21" t="s">
        <v>8</v>
      </c>
      <c r="D5" s="21"/>
      <c r="E5" s="21"/>
      <c r="F5" s="21"/>
      <c r="G5" s="20" t="s">
        <v>9</v>
      </c>
      <c r="H5" s="21" t="str">
        <f>INV!J5</f>
        <v>SEP 05,2026</v>
      </c>
    </row>
    <row r="6" ht="17.25" customHeight="1" spans="1:11">
      <c r="A6" s="20"/>
      <c r="B6" s="20"/>
      <c r="C6" s="21" t="s">
        <v>11</v>
      </c>
      <c r="D6" s="21"/>
      <c r="E6" s="21"/>
      <c r="F6" s="21"/>
      <c r="G6" s="22" t="s">
        <v>12</v>
      </c>
      <c r="H6" s="22"/>
    </row>
    <row r="7" ht="20.25" spans="1:11">
      <c r="A7" s="20"/>
      <c r="B7" s="20"/>
      <c r="C7" s="21"/>
      <c r="D7" s="21"/>
      <c r="E7" s="21"/>
      <c r="F7" s="21"/>
      <c r="G7" s="23" t="s">
        <v>13</v>
      </c>
      <c r="H7" s="22" t="s">
        <v>14</v>
      </c>
    </row>
    <row r="8" ht="25.5" customHeight="1" spans="1:11">
      <c r="A8" s="20" t="s">
        <v>15</v>
      </c>
      <c r="B8" s="20"/>
      <c r="C8" s="21" t="s">
        <v>0</v>
      </c>
      <c r="D8" s="21"/>
      <c r="E8" s="21"/>
      <c r="F8" s="21"/>
      <c r="G8" s="23" t="s">
        <v>16</v>
      </c>
      <c r="H8" s="22" t="s">
        <v>66</v>
      </c>
    </row>
    <row r="9" ht="19.5" customHeight="1" spans="1:11">
      <c r="A9" s="20"/>
      <c r="B9" s="20" t="s">
        <v>7</v>
      </c>
      <c r="C9" s="21" t="s">
        <v>18</v>
      </c>
      <c r="D9" s="21"/>
      <c r="E9" s="21"/>
      <c r="F9" s="21"/>
      <c r="G9" s="21" t="s">
        <v>19</v>
      </c>
      <c r="H9" s="22" t="s">
        <v>20</v>
      </c>
    </row>
    <row r="10" ht="24.75" customHeight="1" spans="1:11">
      <c r="A10" s="21"/>
      <c r="B10" s="21"/>
      <c r="C10" s="21" t="s">
        <v>21</v>
      </c>
      <c r="D10" s="21"/>
      <c r="E10" s="21"/>
      <c r="F10" s="21"/>
      <c r="G10" s="21"/>
      <c r="H10" s="21"/>
    </row>
    <row r="11" ht="56.25" customHeight="1" spans="1:11">
      <c r="A11" s="24" t="s">
        <v>67</v>
      </c>
      <c r="B11" s="24" t="s">
        <v>68</v>
      </c>
      <c r="C11" s="24" t="s">
        <v>24</v>
      </c>
      <c r="D11" s="24" t="s">
        <v>25</v>
      </c>
      <c r="E11" s="24" t="s">
        <v>26</v>
      </c>
      <c r="F11" s="24" t="s">
        <v>69</v>
      </c>
      <c r="G11" s="24" t="s">
        <v>70</v>
      </c>
      <c r="H11" s="24" t="s">
        <v>71</v>
      </c>
    </row>
    <row r="12" ht="41.1" customHeight="1" spans="1:11">
      <c r="A12" s="25" t="str">
        <f>IF(F12&lt;=0,"",(SUM($F$11:F11)+1)&amp;"-"&amp;SUM($F$11:F12))</f>
        <v/>
      </c>
      <c r="B12" s="26" t="s">
        <v>31</v>
      </c>
      <c r="C12" s="27" t="s">
        <v>32</v>
      </c>
      <c r="D12" s="28">
        <f>IF(B12="","",IF(COUNTIF($B$12:B12,B12)=1,INT(VLOOKUP(B12,INV!$C$13:$E$39,3,FALSE)/12)*12,MOD(VLOOKUP(B12,INV!$C$13:$E$39,3,FALSE),12)))</f>
        <v>0</v>
      </c>
      <c r="E12" s="29" t="s">
        <v>33</v>
      </c>
      <c r="F12" s="30">
        <f>IF(D12&lt;=0,0,IF(D12&lt;12,1,D12/12))</f>
        <v>0</v>
      </c>
      <c r="G12" s="31">
        <f>I12*3.2</f>
        <v>0</v>
      </c>
      <c r="H12" s="32">
        <f>ROUNDUP(G12+F12*0.1,0)</f>
        <v>0</v>
      </c>
      <c r="I12" s="33">
        <f>D12/12</f>
        <v>0</v>
      </c>
      <c r="J12" s="34">
        <f>F12</f>
        <v>0</v>
      </c>
      <c r="K12" s="34"/>
    </row>
    <row r="13" ht="41.1" customHeight="1" spans="1:11">
      <c r="A13" s="25" t="str">
        <f>IF(F13&lt;=0,"",(SUM($F$11:F12)+1)&amp;"-"&amp;SUM($F$11:F13))</f>
        <v/>
      </c>
      <c r="B13" s="35" t="str">
        <f>B12</f>
        <v>42072-030 (KM3.PO5.26)</v>
      </c>
      <c r="C13" s="27" t="s">
        <v>32</v>
      </c>
      <c r="D13" s="28">
        <f>IF(B13="","",IF(COUNTIF($B$12:B13,B13)=1,INT(VLOOKUP(B13,INV!$C$13:$E$39,3,FALSE)/12)*12,MOD(VLOOKUP(B13,INV!$C$13:$E$39,3,FALSE),12)))</f>
        <v>0</v>
      </c>
      <c r="E13" s="29" t="s">
        <v>33</v>
      </c>
      <c r="F13" s="30">
        <f t="shared" ref="F13:F69" si="0">IF(D13&lt;=0,0,IF(D13&lt;12,1,D13/12))</f>
        <v>0</v>
      </c>
      <c r="G13" s="31">
        <f t="shared" ref="G13:G69" si="1">I13*3.2</f>
        <v>0</v>
      </c>
      <c r="H13" s="32">
        <f t="shared" ref="H13:H70" si="2">ROUNDUP(G13+F13*0.1,0)</f>
        <v>0</v>
      </c>
      <c r="I13" s="33">
        <f t="shared" ref="I13:I69" si="3">D13/12</f>
        <v>0</v>
      </c>
      <c r="J13" s="36"/>
      <c r="K13" s="36"/>
    </row>
    <row r="14" ht="41.1" customHeight="1" spans="1:11">
      <c r="A14" s="25" t="str">
        <f>IF(F14&lt;=0,"",(SUM($F$11:F13)+1)&amp;"-"&amp;SUM($F$11:F14))</f>
        <v/>
      </c>
      <c r="B14" s="26" t="s">
        <v>34</v>
      </c>
      <c r="C14" s="27" t="s">
        <v>32</v>
      </c>
      <c r="D14" s="28">
        <f>IF(B14="","",IF(COUNTIF($B$12:B14,B14)=1,INT(VLOOKUP(B14,INV!$C$13:$E$39,3,FALSE)/12)*12,MOD(VLOOKUP(B14,INV!$C$13:$E$39,3,FALSE),12)))</f>
        <v>0</v>
      </c>
      <c r="E14" s="29" t="s">
        <v>33</v>
      </c>
      <c r="F14" s="30">
        <f t="shared" si="0"/>
        <v>0</v>
      </c>
      <c r="G14" s="31">
        <f t="shared" si="1"/>
        <v>0</v>
      </c>
      <c r="H14" s="32">
        <f t="shared" si="2"/>
        <v>0</v>
      </c>
      <c r="I14" s="33">
        <f t="shared" si="3"/>
        <v>0</v>
      </c>
      <c r="J14" s="34">
        <f>F14</f>
        <v>0</v>
      </c>
      <c r="K14" s="34"/>
    </row>
    <row r="15" ht="41.1" customHeight="1" spans="1:11">
      <c r="A15" s="25" t="str">
        <f>IF(F15&lt;=0,"",(SUM($F$11:F14)+1)&amp;"-"&amp;SUM($F$11:F15))</f>
        <v/>
      </c>
      <c r="B15" s="35" t="str">
        <f>B14</f>
        <v>42072-267 (KM3.PO5.26)</v>
      </c>
      <c r="C15" s="27" t="s">
        <v>32</v>
      </c>
      <c r="D15" s="28">
        <f>IF(B15="","",IF(COUNTIF($B$12:B15,B15)=1,INT(VLOOKUP(B15,INV!$C$13:$E$39,3,FALSE)/12)*12,MOD(VLOOKUP(B15,INV!$C$13:$E$39,3,FALSE),12)))</f>
        <v>0</v>
      </c>
      <c r="E15" s="29" t="s">
        <v>33</v>
      </c>
      <c r="F15" s="30">
        <f t="shared" si="0"/>
        <v>0</v>
      </c>
      <c r="G15" s="31">
        <f t="shared" si="1"/>
        <v>0</v>
      </c>
      <c r="H15" s="32">
        <f t="shared" si="2"/>
        <v>0</v>
      </c>
      <c r="I15" s="33">
        <f t="shared" si="3"/>
        <v>0</v>
      </c>
      <c r="J15" s="36"/>
      <c r="K15" s="36"/>
    </row>
    <row r="16" ht="41.1" customHeight="1" spans="1:11">
      <c r="A16" s="25" t="str">
        <f>IF(F16&lt;=0,"",(SUM($F$11:F15)+1)&amp;"-"&amp;SUM($F$11:F16))</f>
        <v/>
      </c>
      <c r="B16" s="26" t="s">
        <v>35</v>
      </c>
      <c r="C16" s="27" t="s">
        <v>32</v>
      </c>
      <c r="D16" s="28">
        <f>IF(B16="","",IF(COUNTIF($B$12:B16,B16)=1,INT(VLOOKUP(B16,INV!$C$13:$E$39,3,FALSE)/12)*12,MOD(VLOOKUP(B16,INV!$C$13:$E$39,3,FALSE),12)))</f>
        <v>0</v>
      </c>
      <c r="E16" s="29" t="s">
        <v>33</v>
      </c>
      <c r="F16" s="30">
        <f t="shared" si="0"/>
        <v>0</v>
      </c>
      <c r="G16" s="31">
        <f t="shared" si="1"/>
        <v>0</v>
      </c>
      <c r="H16" s="32">
        <f t="shared" si="2"/>
        <v>0</v>
      </c>
      <c r="I16" s="33">
        <f t="shared" si="3"/>
        <v>0</v>
      </c>
      <c r="J16" s="34">
        <f>J15+F16</f>
        <v>0</v>
      </c>
      <c r="K16" s="34"/>
    </row>
    <row r="17" ht="41.1" customHeight="1" spans="1:11">
      <c r="A17" s="25" t="str">
        <f>IF(F17&lt;=0,"",(SUM($F$11:F16)+1)&amp;"-"&amp;SUM($F$11:F17))</f>
        <v/>
      </c>
      <c r="B17" s="35" t="str">
        <f>B16</f>
        <v>42072-410 (KM3.PO5.26)</v>
      </c>
      <c r="C17" s="27" t="s">
        <v>32</v>
      </c>
      <c r="D17" s="28">
        <f>IF(B17="","",IF(COUNTIF($B$12:B17,B17)=1,INT(VLOOKUP(B17,INV!$C$13:$E$39,3,FALSE)/12)*12,MOD(VLOOKUP(B17,INV!$C$13:$E$39,3,FALSE),12)))</f>
        <v>0</v>
      </c>
      <c r="E17" s="29" t="s">
        <v>33</v>
      </c>
      <c r="F17" s="30">
        <f t="shared" si="0"/>
        <v>0</v>
      </c>
      <c r="G17" s="31">
        <f t="shared" si="1"/>
        <v>0</v>
      </c>
      <c r="H17" s="32">
        <f t="shared" si="2"/>
        <v>0</v>
      </c>
      <c r="I17" s="33">
        <f t="shared" si="3"/>
        <v>0</v>
      </c>
      <c r="J17" s="36"/>
      <c r="K17" s="36"/>
    </row>
    <row r="18" s="15" customFormat="1" ht="41.1" customHeight="1" spans="1:11">
      <c r="A18" s="25" t="str">
        <f>IF(F18&lt;=0,"",(SUM($F$11:F17)+1)&amp;"-"&amp;SUM($F$11:F18))</f>
        <v/>
      </c>
      <c r="B18" s="26" t="s">
        <v>36</v>
      </c>
      <c r="C18" s="27" t="s">
        <v>32</v>
      </c>
      <c r="D18" s="28">
        <f>IF(B18="","",IF(COUNTIF($B$12:B18,B18)=1,INT(VLOOKUP(B18,INV!$C$13:$E$39,3,FALSE)/12)*12,MOD(VLOOKUP(B18,INV!$C$13:$E$39,3,FALSE),12)))</f>
        <v>0</v>
      </c>
      <c r="E18" s="29" t="s">
        <v>33</v>
      </c>
      <c r="F18" s="30">
        <f t="shared" si="0"/>
        <v>0</v>
      </c>
      <c r="G18" s="31">
        <f t="shared" si="1"/>
        <v>0</v>
      </c>
      <c r="H18" s="32">
        <f t="shared" si="2"/>
        <v>0</v>
      </c>
      <c r="I18" s="33">
        <f t="shared" si="3"/>
        <v>0</v>
      </c>
      <c r="J18" s="34">
        <f>J17+F18</f>
        <v>0</v>
      </c>
      <c r="K18" s="34"/>
    </row>
    <row r="19" s="15" customFormat="1" ht="41.1" customHeight="1" spans="1:11">
      <c r="A19" s="25" t="str">
        <f>IF(F19&lt;=0,"",(SUM($F$11:F18)+1)&amp;"-"&amp;SUM($F$11:F19))</f>
        <v/>
      </c>
      <c r="B19" s="35" t="str">
        <f>B18</f>
        <v>40700-060 (KM3.PO5.26)</v>
      </c>
      <c r="C19" s="27" t="s">
        <v>32</v>
      </c>
      <c r="D19" s="28">
        <f>IF(B19="","",IF(COUNTIF($B$12:B19,B19)=1,INT(VLOOKUP(B19,INV!$C$13:$E$39,3,FALSE)/12)*12,MOD(VLOOKUP(B19,INV!$C$13:$E$39,3,FALSE),12)))</f>
        <v>0</v>
      </c>
      <c r="E19" s="29" t="s">
        <v>33</v>
      </c>
      <c r="F19" s="30">
        <f t="shared" si="0"/>
        <v>0</v>
      </c>
      <c r="G19" s="31">
        <f t="shared" si="1"/>
        <v>0</v>
      </c>
      <c r="H19" s="32">
        <f t="shared" si="2"/>
        <v>0</v>
      </c>
      <c r="I19" s="33">
        <f t="shared" si="3"/>
        <v>0</v>
      </c>
      <c r="J19" s="36"/>
      <c r="K19" s="36"/>
    </row>
    <row r="20" s="15" customFormat="1" ht="41.1" customHeight="1" spans="1:11">
      <c r="A20" s="25" t="str">
        <f>IF(F20&lt;=0,"",(SUM($F$11:F19)+1)&amp;"-"&amp;SUM($F$11:F20))</f>
        <v/>
      </c>
      <c r="B20" s="26" t="s">
        <v>37</v>
      </c>
      <c r="C20" s="27" t="s">
        <v>32</v>
      </c>
      <c r="D20" s="28">
        <f>IF(B20="","",IF(COUNTIF($B$12:B20,B20)=1,INT(VLOOKUP(B20,INV!$C$13:$E$39,3,FALSE)/12)*12,MOD(VLOOKUP(B20,INV!$C$13:$E$39,3,FALSE),12)))</f>
        <v>0</v>
      </c>
      <c r="E20" s="29" t="s">
        <v>33</v>
      </c>
      <c r="F20" s="30">
        <f t="shared" si="0"/>
        <v>0</v>
      </c>
      <c r="G20" s="31">
        <f t="shared" si="1"/>
        <v>0</v>
      </c>
      <c r="H20" s="32">
        <f t="shared" si="2"/>
        <v>0</v>
      </c>
      <c r="I20" s="33">
        <f t="shared" si="3"/>
        <v>0</v>
      </c>
      <c r="J20" s="34">
        <f>J19+F20</f>
        <v>0</v>
      </c>
      <c r="K20" s="34"/>
    </row>
    <row r="21" s="15" customFormat="1" ht="41.1" customHeight="1" spans="1:11">
      <c r="A21" s="25" t="str">
        <f>IF(F21&lt;=0,"",(SUM($F$11:F20)+1)&amp;"-"&amp;SUM($F$11:F21))</f>
        <v/>
      </c>
      <c r="B21" s="35" t="str">
        <f>B20</f>
        <v>42073-030 (KM3.PO5.26)</v>
      </c>
      <c r="C21" s="27" t="s">
        <v>32</v>
      </c>
      <c r="D21" s="28">
        <f>IF(B21="","",IF(COUNTIF($B$12:B21,B21)=1,INT(VLOOKUP(B21,INV!$C$13:$E$39,3,FALSE)/12)*12,MOD(VLOOKUP(B21,INV!$C$13:$E$39,3,FALSE),12)))</f>
        <v>0</v>
      </c>
      <c r="E21" s="29" t="s">
        <v>33</v>
      </c>
      <c r="F21" s="30">
        <f t="shared" si="0"/>
        <v>0</v>
      </c>
      <c r="G21" s="31">
        <f t="shared" si="1"/>
        <v>0</v>
      </c>
      <c r="H21" s="32">
        <f t="shared" si="2"/>
        <v>0</v>
      </c>
      <c r="I21" s="33">
        <f t="shared" si="3"/>
        <v>0</v>
      </c>
      <c r="J21" s="36"/>
      <c r="K21" s="36"/>
    </row>
    <row r="22" s="15" customFormat="1" ht="41.1" customHeight="1" spans="1:11">
      <c r="A22" s="25" t="str">
        <f>IF(F22&lt;=0,"",(SUM($F$11:F21)+1)&amp;"-"&amp;SUM($F$11:F22))</f>
        <v/>
      </c>
      <c r="B22" s="26" t="s">
        <v>38</v>
      </c>
      <c r="C22" s="27" t="s">
        <v>32</v>
      </c>
      <c r="D22" s="28">
        <f>IF(B22="","",IF(COUNTIF($B$12:B22,B22)=1,INT(VLOOKUP(B22,INV!$C$13:$E$39,3,FALSE)/12)*12,MOD(VLOOKUP(B22,INV!$C$13:$E$39,3,FALSE),12)))</f>
        <v>0</v>
      </c>
      <c r="E22" s="29" t="s">
        <v>33</v>
      </c>
      <c r="F22" s="30">
        <f t="shared" si="0"/>
        <v>0</v>
      </c>
      <c r="G22" s="31">
        <f t="shared" si="1"/>
        <v>0</v>
      </c>
      <c r="H22" s="32">
        <f t="shared" si="2"/>
        <v>0</v>
      </c>
      <c r="I22" s="33">
        <f t="shared" si="3"/>
        <v>0</v>
      </c>
      <c r="J22" s="34">
        <f>J21+F22</f>
        <v>0</v>
      </c>
      <c r="K22" s="34"/>
    </row>
    <row r="23" s="15" customFormat="1" ht="41.1" customHeight="1" spans="1:11">
      <c r="A23" s="25" t="str">
        <f>IF(F23&lt;=0,"",(SUM($F$11:F22)+1)&amp;"-"&amp;SUM($F$11:F23))</f>
        <v/>
      </c>
      <c r="B23" s="35" t="str">
        <f>B22</f>
        <v>40700-007 (KM3.PO5.26)</v>
      </c>
      <c r="C23" s="27" t="s">
        <v>32</v>
      </c>
      <c r="D23" s="28">
        <f>IF(B23="","",IF(COUNTIF($B$12:B23,B23)=1,INT(VLOOKUP(B23,INV!$C$13:$E$39,3,FALSE)/12)*12,MOD(VLOOKUP(B23,INV!$C$13:$E$39,3,FALSE),12)))</f>
        <v>0</v>
      </c>
      <c r="E23" s="29" t="s">
        <v>33</v>
      </c>
      <c r="F23" s="30">
        <f t="shared" si="0"/>
        <v>0</v>
      </c>
      <c r="G23" s="31">
        <f t="shared" si="1"/>
        <v>0</v>
      </c>
      <c r="H23" s="32">
        <f t="shared" si="2"/>
        <v>0</v>
      </c>
      <c r="I23" s="33">
        <f t="shared" si="3"/>
        <v>0</v>
      </c>
      <c r="J23" s="36"/>
      <c r="K23" s="36"/>
    </row>
    <row r="24" s="15" customFormat="1" ht="41.1" customHeight="1" spans="1:11">
      <c r="A24" s="25" t="str">
        <f>IF(F24&lt;=0,"",(SUM($F$11:F23)+1)&amp;"-"&amp;SUM($F$11:F24))</f>
        <v/>
      </c>
      <c r="B24" s="26" t="s">
        <v>39</v>
      </c>
      <c r="C24" s="27" t="s">
        <v>32</v>
      </c>
      <c r="D24" s="28">
        <f>IF(B24="","",IF(COUNTIF($B$12:B24,B24)=1,INT(VLOOKUP(B24,INV!$C$13:$E$39,3,FALSE)/12)*12,MOD(VLOOKUP(B24,INV!$C$13:$E$39,3,FALSE),12)))</f>
        <v>0</v>
      </c>
      <c r="E24" s="29" t="s">
        <v>33</v>
      </c>
      <c r="F24" s="30">
        <f t="shared" si="0"/>
        <v>0</v>
      </c>
      <c r="G24" s="31">
        <f t="shared" si="1"/>
        <v>0</v>
      </c>
      <c r="H24" s="32">
        <f t="shared" si="2"/>
        <v>0</v>
      </c>
      <c r="I24" s="33">
        <f t="shared" si="3"/>
        <v>0</v>
      </c>
      <c r="J24" s="36">
        <f>J22+F24</f>
        <v>0</v>
      </c>
      <c r="K24" s="36"/>
    </row>
    <row r="25" s="15" customFormat="1" ht="41.1" customHeight="1" spans="1:11">
      <c r="A25" s="25" t="str">
        <f>IF(F25&lt;=0,"",(SUM($F$11:F24)+1)&amp;"-"&amp;SUM($F$11:F25))</f>
        <v/>
      </c>
      <c r="B25" s="35" t="str">
        <f>B24</f>
        <v>40700-066 (KM3.PO5.26)</v>
      </c>
      <c r="C25" s="27" t="s">
        <v>32</v>
      </c>
      <c r="D25" s="28">
        <f>IF(B25="","",IF(COUNTIF($B$12:B25,B25)=1,INT(VLOOKUP(B25,INV!$C$13:$E$39,3,FALSE)/12)*12,MOD(VLOOKUP(B25,INV!$C$13:$E$39,3,FALSE),12)))</f>
        <v>0</v>
      </c>
      <c r="E25" s="29" t="s">
        <v>33</v>
      </c>
      <c r="F25" s="30">
        <f t="shared" si="0"/>
        <v>0</v>
      </c>
      <c r="G25" s="31">
        <f t="shared" si="1"/>
        <v>0</v>
      </c>
      <c r="H25" s="32">
        <f t="shared" si="2"/>
        <v>0</v>
      </c>
      <c r="I25" s="33">
        <f t="shared" si="3"/>
        <v>0</v>
      </c>
      <c r="J25" s="36"/>
      <c r="K25" s="36"/>
    </row>
    <row r="26" s="15" customFormat="1" ht="41.1" customHeight="1" spans="1:11">
      <c r="A26" s="25" t="str">
        <f>IF(F26&lt;=0,"",(SUM($F$11:F25)+1)&amp;"-"&amp;SUM($F$11:F26))</f>
        <v/>
      </c>
      <c r="B26" s="26" t="s">
        <v>40</v>
      </c>
      <c r="C26" s="27" t="s">
        <v>32</v>
      </c>
      <c r="D26" s="28">
        <f>IF(B26="","",IF(COUNTIF($B$12:B26,B26)=1,INT(VLOOKUP(B26,INV!$C$13:$E$39,3,FALSE)/12)*12,MOD(VLOOKUP(B26,INV!$C$13:$E$39,3,FALSE),12)))</f>
        <v>0</v>
      </c>
      <c r="E26" s="29" t="s">
        <v>33</v>
      </c>
      <c r="F26" s="30">
        <f t="shared" si="0"/>
        <v>0</v>
      </c>
      <c r="G26" s="31">
        <f t="shared" si="1"/>
        <v>0</v>
      </c>
      <c r="H26" s="32">
        <f t="shared" si="2"/>
        <v>0</v>
      </c>
      <c r="I26" s="33">
        <f t="shared" si="3"/>
        <v>0</v>
      </c>
      <c r="J26" s="36">
        <f>J25+F26</f>
        <v>0</v>
      </c>
      <c r="K26" s="36"/>
    </row>
    <row r="27" s="15" customFormat="1" ht="41.1" customHeight="1" spans="1:11">
      <c r="A27" s="25" t="str">
        <f>IF(F27&lt;=0,"",(SUM($F$11:F26)+1)&amp;"-"&amp;SUM($F$11:F27))</f>
        <v/>
      </c>
      <c r="B27" s="35" t="str">
        <f>B26</f>
        <v>40700-410 (KM3.PO5.26)</v>
      </c>
      <c r="C27" s="27" t="s">
        <v>32</v>
      </c>
      <c r="D27" s="28">
        <f>IF(B27="","",IF(COUNTIF($B$12:B27,B27)=1,INT(VLOOKUP(B27,INV!$C$13:$E$39,3,FALSE)/12)*12,MOD(VLOOKUP(B27,INV!$C$13:$E$39,3,FALSE),12)))</f>
        <v>0</v>
      </c>
      <c r="E27" s="29" t="s">
        <v>33</v>
      </c>
      <c r="F27" s="30">
        <f t="shared" si="0"/>
        <v>0</v>
      </c>
      <c r="G27" s="31">
        <f t="shared" si="1"/>
        <v>0</v>
      </c>
      <c r="H27" s="32">
        <f t="shared" si="2"/>
        <v>0</v>
      </c>
      <c r="I27" s="33">
        <f t="shared" si="3"/>
        <v>0</v>
      </c>
      <c r="J27" s="36"/>
      <c r="K27" s="36"/>
    </row>
    <row r="28" s="15" customFormat="1" ht="41.1" customHeight="1" spans="1:11">
      <c r="A28" s="25" t="str">
        <f>IF(F28&lt;=0,"",(SUM($F$11:F27)+1)&amp;"-"&amp;SUM($F$11:F28))</f>
        <v/>
      </c>
      <c r="B28" s="26" t="s">
        <v>41</v>
      </c>
      <c r="C28" s="27" t="s">
        <v>32</v>
      </c>
      <c r="D28" s="28">
        <f>IF(B28="","",IF(COUNTIF($B$12:B28,B28)=1,INT(VLOOKUP(B28,INV!$C$13:$E$39,3,FALSE)/12)*12,MOD(VLOOKUP(B28,INV!$C$13:$E$39,3,FALSE),12)))</f>
        <v>0</v>
      </c>
      <c r="E28" s="29" t="s">
        <v>33</v>
      </c>
      <c r="F28" s="30">
        <f t="shared" si="0"/>
        <v>0</v>
      </c>
      <c r="G28" s="31">
        <f t="shared" si="1"/>
        <v>0</v>
      </c>
      <c r="H28" s="32">
        <f t="shared" si="2"/>
        <v>0</v>
      </c>
      <c r="I28" s="33">
        <f t="shared" si="3"/>
        <v>0</v>
      </c>
      <c r="J28" s="36">
        <f>J27+F28</f>
        <v>0</v>
      </c>
      <c r="K28" s="36"/>
    </row>
    <row r="29" s="15" customFormat="1" ht="41.1" customHeight="1" spans="1:11">
      <c r="A29" s="25" t="str">
        <f>IF(F29&lt;=0,"",(SUM($F$11:F28)+1)&amp;"-"&amp;SUM($F$11:F29))</f>
        <v/>
      </c>
      <c r="B29" s="35" t="str">
        <f>B28</f>
        <v>42072-066 (KM3.PO5.26)</v>
      </c>
      <c r="C29" s="27" t="s">
        <v>32</v>
      </c>
      <c r="D29" s="28">
        <f>IF(B29="","",IF(COUNTIF($B$12:B29,B29)=1,INT(VLOOKUP(B29,INV!$C$13:$E$39,3,FALSE)/12)*12,MOD(VLOOKUP(B29,INV!$C$13:$E$39,3,FALSE),12)))</f>
        <v>0</v>
      </c>
      <c r="E29" s="29" t="s">
        <v>33</v>
      </c>
      <c r="F29" s="30">
        <f t="shared" si="0"/>
        <v>0</v>
      </c>
      <c r="G29" s="31">
        <f t="shared" si="1"/>
        <v>0</v>
      </c>
      <c r="H29" s="32">
        <f t="shared" si="2"/>
        <v>0</v>
      </c>
      <c r="I29" s="33">
        <f t="shared" si="3"/>
        <v>0</v>
      </c>
      <c r="J29" s="36"/>
      <c r="K29" s="36"/>
    </row>
    <row r="30" s="15" customFormat="1" ht="41.1" customHeight="1" spans="1:11">
      <c r="A30" s="25" t="str">
        <f>IF(F30&lt;=0,"",(SUM($F$11:F29)+1)&amp;"-"&amp;SUM($F$11:F30))</f>
        <v/>
      </c>
      <c r="B30" s="26" t="s">
        <v>42</v>
      </c>
      <c r="C30" s="27" t="s">
        <v>32</v>
      </c>
      <c r="D30" s="28">
        <f>IF(B30="","",IF(COUNTIF($B$12:B30,B30)=1,INT(VLOOKUP(B30,INV!$C$13:$E$39,3,FALSE)/12)*12,MOD(VLOOKUP(B30,INV!$C$13:$E$39,3,FALSE),12)))</f>
        <v>0</v>
      </c>
      <c r="E30" s="29" t="s">
        <v>33</v>
      </c>
      <c r="F30" s="30">
        <f t="shared" si="0"/>
        <v>0</v>
      </c>
      <c r="G30" s="31">
        <f t="shared" si="1"/>
        <v>0</v>
      </c>
      <c r="H30" s="32">
        <f t="shared" si="2"/>
        <v>0</v>
      </c>
      <c r="I30" s="33">
        <f t="shared" si="3"/>
        <v>0</v>
      </c>
      <c r="J30" s="36">
        <f>J29+F30</f>
        <v>0</v>
      </c>
      <c r="K30" s="36"/>
    </row>
    <row r="31" s="15" customFormat="1" ht="41.1" customHeight="1" spans="1:11">
      <c r="A31" s="25" t="str">
        <f>IF(F31&lt;=0,"",(SUM($F$11:F30)+1)&amp;"-"&amp;SUM($F$11:F31))</f>
        <v/>
      </c>
      <c r="B31" s="35" t="str">
        <f>B30</f>
        <v>42073-060 (KM3.PO5.26)</v>
      </c>
      <c r="C31" s="27" t="s">
        <v>32</v>
      </c>
      <c r="D31" s="28">
        <f>IF(B31="","",IF(COUNTIF($B$12:B31,B31)=1,INT(VLOOKUP(B31,INV!$C$13:$E$39,3,FALSE)/12)*12,MOD(VLOOKUP(B31,INV!$C$13:$E$39,3,FALSE),12)))</f>
        <v>0</v>
      </c>
      <c r="E31" s="29" t="s">
        <v>33</v>
      </c>
      <c r="F31" s="30">
        <f t="shared" si="0"/>
        <v>0</v>
      </c>
      <c r="G31" s="31">
        <f t="shared" si="1"/>
        <v>0</v>
      </c>
      <c r="H31" s="32">
        <f t="shared" si="2"/>
        <v>0</v>
      </c>
      <c r="I31" s="33">
        <f t="shared" si="3"/>
        <v>0</v>
      </c>
      <c r="J31" s="36"/>
      <c r="K31" s="36"/>
    </row>
    <row r="32" s="15" customFormat="1" ht="41.1" customHeight="1" spans="1:11">
      <c r="A32" s="25" t="str">
        <f>IF(F32&lt;=0,"",(SUM($F$11:F31)+1)&amp;"-"&amp;SUM($F$11:F32))</f>
        <v/>
      </c>
      <c r="B32" s="26" t="s">
        <v>43</v>
      </c>
      <c r="C32" s="27" t="s">
        <v>32</v>
      </c>
      <c r="D32" s="28">
        <f>IF(B32="","",IF(COUNTIF($B$12:B32,B32)=1,INT(VLOOKUP(B32,INV!$C$13:$E$39,3,FALSE)/12)*12,MOD(VLOOKUP(B32,INV!$C$13:$E$39,3,FALSE),12)))</f>
        <v>0</v>
      </c>
      <c r="E32" s="29" t="s">
        <v>33</v>
      </c>
      <c r="F32" s="30">
        <f t="shared" si="0"/>
        <v>0</v>
      </c>
      <c r="G32" s="31">
        <f t="shared" si="1"/>
        <v>0</v>
      </c>
      <c r="H32" s="32">
        <f t="shared" si="2"/>
        <v>0</v>
      </c>
      <c r="I32" s="33">
        <f t="shared" si="3"/>
        <v>0</v>
      </c>
      <c r="J32" s="36"/>
      <c r="K32" s="36"/>
    </row>
    <row r="33" s="15" customFormat="1" ht="41.1" customHeight="1" spans="1:11">
      <c r="A33" s="25" t="str">
        <f>IF(F33&lt;=0,"",(SUM($F$11:F32)+1)&amp;"-"&amp;SUM($F$11:F33))</f>
        <v/>
      </c>
      <c r="B33" s="35" t="str">
        <f>B32</f>
        <v>42073-410 (KM3.PO5.26)</v>
      </c>
      <c r="C33" s="27" t="s">
        <v>32</v>
      </c>
      <c r="D33" s="28">
        <f>IF(B33="","",IF(COUNTIF($B$12:B33,B33)=1,INT(VLOOKUP(B33,INV!$C$13:$E$39,3,FALSE)/12)*12,MOD(VLOOKUP(B33,INV!$C$13:$E$39,3,FALSE),12)))</f>
        <v>0</v>
      </c>
      <c r="E33" s="29" t="s">
        <v>33</v>
      </c>
      <c r="F33" s="30">
        <f t="shared" si="0"/>
        <v>0</v>
      </c>
      <c r="G33" s="31">
        <f t="shared" si="1"/>
        <v>0</v>
      </c>
      <c r="H33" s="32">
        <f t="shared" si="2"/>
        <v>0</v>
      </c>
      <c r="I33" s="33">
        <f t="shared" si="3"/>
        <v>0</v>
      </c>
      <c r="J33" s="36"/>
      <c r="K33" s="36"/>
    </row>
    <row r="34" s="15" customFormat="1" ht="41.1" customHeight="1" spans="1:11">
      <c r="A34" s="25" t="str">
        <f>IF(F34&lt;=0,"",(SUM($F$11:F33)+1)&amp;"-"&amp;SUM($F$11:F34))</f>
        <v/>
      </c>
      <c r="B34" s="26" t="s">
        <v>44</v>
      </c>
      <c r="C34" s="27" t="s">
        <v>32</v>
      </c>
      <c r="D34" s="28">
        <f>IF(B34="","",IF(COUNTIF($B$12:B34,B34)=1,INT(VLOOKUP(B34,INV!$C$13:$E$39,3,FALSE)/12)*12,MOD(VLOOKUP(B34,INV!$C$13:$E$39,3,FALSE),12)))</f>
        <v>0</v>
      </c>
      <c r="E34" s="29" t="s">
        <v>33</v>
      </c>
      <c r="F34" s="30">
        <f t="shared" si="0"/>
        <v>0</v>
      </c>
      <c r="G34" s="31">
        <f t="shared" si="1"/>
        <v>0</v>
      </c>
      <c r="H34" s="32">
        <f t="shared" si="2"/>
        <v>0</v>
      </c>
      <c r="I34" s="33">
        <f t="shared" si="3"/>
        <v>0</v>
      </c>
      <c r="J34" s="36"/>
      <c r="K34" s="36"/>
    </row>
    <row r="35" s="15" customFormat="1" ht="41.1" customHeight="1" spans="1:11">
      <c r="A35" s="25" t="str">
        <f>IF(F35&lt;=0,"",(SUM($F$11:F34)+1)&amp;"-"&amp;SUM($F$11:F35))</f>
        <v/>
      </c>
      <c r="B35" s="35" t="str">
        <f>B34</f>
        <v>42072-060 (KM3.PO5.26)</v>
      </c>
      <c r="C35" s="27" t="s">
        <v>32</v>
      </c>
      <c r="D35" s="28">
        <f>IF(B35="","",IF(COUNTIF($B$12:B35,B35)=1,INT(VLOOKUP(B35,INV!$C$13:$E$39,3,FALSE)/12)*12,MOD(VLOOKUP(B35,INV!$C$13:$E$39,3,FALSE),12)))</f>
        <v>0</v>
      </c>
      <c r="E35" s="29" t="s">
        <v>33</v>
      </c>
      <c r="F35" s="30">
        <f t="shared" si="0"/>
        <v>0</v>
      </c>
      <c r="G35" s="31">
        <f t="shared" si="1"/>
        <v>0</v>
      </c>
      <c r="H35" s="32">
        <f t="shared" si="2"/>
        <v>0</v>
      </c>
      <c r="I35" s="33">
        <f t="shared" si="3"/>
        <v>0</v>
      </c>
      <c r="J35" s="36"/>
      <c r="K35" s="36"/>
    </row>
    <row r="36" s="15" customFormat="1" ht="41.1" customHeight="1" spans="1:11">
      <c r="A36" s="25" t="str">
        <f>IF(F36&lt;=0,"",(SUM($F$11:F35)+1)&amp;"-"&amp;SUM($F$11:F36))</f>
        <v/>
      </c>
      <c r="B36" s="26" t="s">
        <v>45</v>
      </c>
      <c r="C36" s="27" t="s">
        <v>32</v>
      </c>
      <c r="D36" s="28">
        <f>IF(B36="","",IF(COUNTIF($B$12:B36,B36)=1,INT(VLOOKUP(B36,INV!$C$13:$E$39,3,FALSE)/12)*12,MOD(VLOOKUP(B36,INV!$C$13:$E$39,3,FALSE),12)))</f>
        <v>0</v>
      </c>
      <c r="E36" s="29" t="s">
        <v>33</v>
      </c>
      <c r="F36" s="30">
        <f t="shared" si="0"/>
        <v>0</v>
      </c>
      <c r="G36" s="31">
        <f t="shared" si="1"/>
        <v>0</v>
      </c>
      <c r="H36" s="32">
        <f t="shared" si="2"/>
        <v>0</v>
      </c>
      <c r="I36" s="33">
        <f t="shared" si="3"/>
        <v>0</v>
      </c>
      <c r="J36" s="36"/>
      <c r="K36" s="36"/>
    </row>
    <row r="37" s="15" customFormat="1" ht="41.1" customHeight="1" spans="1:11">
      <c r="A37" s="25" t="str">
        <f>IF(F37&lt;=0,"",(SUM($F$11:F36)+1)&amp;"-"&amp;SUM($F$11:F37))</f>
        <v/>
      </c>
      <c r="B37" s="35" t="str">
        <f>B36</f>
        <v>45187-1WQ (KM3.PO5.26)</v>
      </c>
      <c r="C37" s="27" t="s">
        <v>32</v>
      </c>
      <c r="D37" s="28">
        <f>IF(B37="","",IF(COUNTIF($B$12:B37,B37)=1,INT(VLOOKUP(B37,INV!$C$13:$E$39,3,FALSE)/12)*12,MOD(VLOOKUP(B37,INV!$C$13:$E$39,3,FALSE),12)))</f>
        <v>0</v>
      </c>
      <c r="E37" s="29" t="s">
        <v>33</v>
      </c>
      <c r="F37" s="30">
        <f t="shared" si="0"/>
        <v>0</v>
      </c>
      <c r="G37" s="31">
        <f t="shared" si="1"/>
        <v>0</v>
      </c>
      <c r="H37" s="32">
        <f t="shared" si="2"/>
        <v>0</v>
      </c>
      <c r="I37" s="33">
        <f t="shared" si="3"/>
        <v>0</v>
      </c>
      <c r="J37" s="36"/>
      <c r="K37" s="36"/>
    </row>
    <row r="38" s="15" customFormat="1" ht="41.1" customHeight="1" spans="1:11">
      <c r="A38" s="25" t="str">
        <f>IF(F38&lt;=0,"",(SUM($F$11:F37)+1)&amp;"-"&amp;SUM($F$11:F38))</f>
        <v/>
      </c>
      <c r="B38" s="26" t="s">
        <v>46</v>
      </c>
      <c r="C38" s="27" t="s">
        <v>32</v>
      </c>
      <c r="D38" s="28">
        <f>IF(B38="","",IF(COUNTIF($B$12:B38,B38)=1,INT(VLOOKUP(B38,INV!$C$13:$E$39,3,FALSE)/12)*12,MOD(VLOOKUP(B38,INV!$C$13:$E$39,3,FALSE),12)))</f>
        <v>0</v>
      </c>
      <c r="E38" s="29" t="s">
        <v>33</v>
      </c>
      <c r="F38" s="30">
        <f t="shared" si="0"/>
        <v>0</v>
      </c>
      <c r="G38" s="31">
        <f t="shared" si="1"/>
        <v>0</v>
      </c>
      <c r="H38" s="32">
        <f t="shared" si="2"/>
        <v>0</v>
      </c>
      <c r="I38" s="33">
        <f t="shared" si="3"/>
        <v>0</v>
      </c>
      <c r="J38" s="36"/>
      <c r="K38" s="36"/>
    </row>
    <row r="39" s="15" customFormat="1" ht="41.1" customHeight="1" spans="1:11">
      <c r="A39" s="25" t="str">
        <f>IF(F39&lt;=0,"",(SUM($F$11:F38)+1)&amp;"-"&amp;SUM($F$11:F39))</f>
        <v/>
      </c>
      <c r="B39" s="37" t="str">
        <f>B38</f>
        <v>45187-3AW (KM3.PO5.26)</v>
      </c>
      <c r="C39" s="27" t="s">
        <v>32</v>
      </c>
      <c r="D39" s="28">
        <f>IF(B39="","",IF(COUNTIF($B$12:B39,B39)=1,INT(VLOOKUP(B39,INV!$C$13:$E$39,3,FALSE)/12)*12,MOD(VLOOKUP(B39,INV!$C$13:$E$39,3,FALSE),12)))</f>
        <v>0</v>
      </c>
      <c r="E39" s="29" t="s">
        <v>33</v>
      </c>
      <c r="F39" s="30">
        <f t="shared" si="0"/>
        <v>0</v>
      </c>
      <c r="G39" s="31">
        <f t="shared" si="1"/>
        <v>0</v>
      </c>
      <c r="H39" s="32">
        <f t="shared" si="2"/>
        <v>0</v>
      </c>
      <c r="I39" s="33">
        <f t="shared" si="3"/>
        <v>0</v>
      </c>
      <c r="J39" s="36"/>
      <c r="K39" s="36"/>
    </row>
    <row r="40" s="15" customFormat="1" ht="41.1" customHeight="1" spans="1:11">
      <c r="A40" s="25" t="str">
        <f>IF(F40&lt;=0,"",(SUM($F$11:F39)+1)&amp;"-"&amp;SUM($F$11:F40))</f>
        <v/>
      </c>
      <c r="B40" s="38" t="s">
        <v>47</v>
      </c>
      <c r="C40" s="27" t="s">
        <v>32</v>
      </c>
      <c r="D40" s="28">
        <f>IF(B40="","",IF(COUNTIF($B$12:B40,B40)=1,INT(VLOOKUP(B40,INV!$C$13:$E$39,3,FALSE)/12)*12,MOD(VLOOKUP(B40,INV!$C$13:$E$39,3,FALSE),12)))</f>
        <v>0</v>
      </c>
      <c r="E40" s="29" t="s">
        <v>33</v>
      </c>
      <c r="F40" s="30">
        <f t="shared" si="0"/>
        <v>0</v>
      </c>
      <c r="G40" s="31">
        <f t="shared" si="1"/>
        <v>0</v>
      </c>
      <c r="H40" s="32">
        <f t="shared" si="2"/>
        <v>0</v>
      </c>
      <c r="I40" s="33">
        <f t="shared" si="3"/>
        <v>0</v>
      </c>
      <c r="J40" s="36"/>
      <c r="K40" s="36"/>
    </row>
    <row r="41" s="15" customFormat="1" ht="41.1" customHeight="1" spans="1:11">
      <c r="A41" s="25" t="str">
        <f>IF(F41&lt;=0,"",(SUM($F$11:F40)+1)&amp;"-"&amp;SUM($F$11:F41))</f>
        <v/>
      </c>
      <c r="B41" s="37" t="str">
        <f>B40</f>
        <v>42073-066 (KM3.PO5.26)</v>
      </c>
      <c r="C41" s="27" t="s">
        <v>32</v>
      </c>
      <c r="D41" s="28">
        <f>IF(B41="","",IF(COUNTIF($B$12:B41,B41)=1,INT(VLOOKUP(B41,INV!$C$13:$E$39,3,FALSE)/12)*12,MOD(VLOOKUP(B41,INV!$C$13:$E$39,3,FALSE),12)))</f>
        <v>0</v>
      </c>
      <c r="E41" s="29" t="s">
        <v>33</v>
      </c>
      <c r="F41" s="30">
        <f t="shared" si="0"/>
        <v>0</v>
      </c>
      <c r="G41" s="31">
        <f t="shared" si="1"/>
        <v>0</v>
      </c>
      <c r="H41" s="32">
        <f t="shared" si="2"/>
        <v>0</v>
      </c>
      <c r="I41" s="33">
        <f t="shared" si="3"/>
        <v>0</v>
      </c>
      <c r="J41" s="36"/>
      <c r="K41" s="36"/>
    </row>
    <row r="42" s="15" customFormat="1" ht="41.1" customHeight="1" spans="1:11">
      <c r="A42" s="25" t="str">
        <f>IF(F42&lt;=0,"",(SUM($F$11:F41)+1)&amp;"-"&amp;SUM($F$11:F42))</f>
        <v/>
      </c>
      <c r="B42" s="38" t="s">
        <v>48</v>
      </c>
      <c r="C42" s="27" t="s">
        <v>32</v>
      </c>
      <c r="D42" s="28">
        <f>IF(B42="","",IF(COUNTIF($B$12:B42,B42)=1,INT(VLOOKUP(B42,INV!$C$13:$E$39,3,FALSE)/12)*12,MOD(VLOOKUP(B42,INV!$C$13:$E$39,3,FALSE),12)))</f>
        <v>0</v>
      </c>
      <c r="E42" s="29" t="s">
        <v>33</v>
      </c>
      <c r="F42" s="30">
        <f t="shared" si="0"/>
        <v>0</v>
      </c>
      <c r="G42" s="31">
        <f t="shared" si="1"/>
        <v>0</v>
      </c>
      <c r="H42" s="32">
        <f t="shared" si="2"/>
        <v>0</v>
      </c>
      <c r="I42" s="33">
        <f t="shared" si="3"/>
        <v>0</v>
      </c>
      <c r="J42" s="36"/>
      <c r="K42" s="36"/>
    </row>
    <row r="43" s="15" customFormat="1" ht="41.1" customHeight="1" spans="1:11">
      <c r="A43" s="25" t="str">
        <f>IF(F43&lt;=0,"",(SUM($F$11:F42)+1)&amp;"-"&amp;SUM($F$11:F43))</f>
        <v/>
      </c>
      <c r="B43" s="37" t="str">
        <f>B42</f>
        <v>45777-7BR (KM3.PO5.26)</v>
      </c>
      <c r="C43" s="27" t="s">
        <v>32</v>
      </c>
      <c r="D43" s="28">
        <f>IF(B43="","",IF(COUNTIF($B$12:B43,B43)=1,INT(VLOOKUP(B43,INV!$C$13:$E$39,3,FALSE)/12)*12,MOD(VLOOKUP(B43,INV!$C$13:$E$39,3,FALSE),12)))</f>
        <v>0</v>
      </c>
      <c r="E43" s="29" t="s">
        <v>33</v>
      </c>
      <c r="F43" s="30">
        <f t="shared" si="0"/>
        <v>0</v>
      </c>
      <c r="G43" s="31">
        <f t="shared" si="1"/>
        <v>0</v>
      </c>
      <c r="H43" s="32">
        <f t="shared" si="2"/>
        <v>0</v>
      </c>
      <c r="I43" s="33">
        <f t="shared" si="3"/>
        <v>0</v>
      </c>
      <c r="J43" s="36"/>
      <c r="K43" s="36"/>
    </row>
    <row r="44" s="15" customFormat="1" ht="41.1" customHeight="1" spans="1:11">
      <c r="A44" s="25" t="str">
        <f>IF(F44&lt;=0,"",(SUM($F$11:F43)+1)&amp;"-"&amp;SUM($F$11:F44))</f>
        <v/>
      </c>
      <c r="B44" s="38" t="s">
        <v>49</v>
      </c>
      <c r="C44" s="27" t="s">
        <v>32</v>
      </c>
      <c r="D44" s="28">
        <f>IF(B44="","",IF(COUNTIF($B$12:B44,B44)=1,INT(VLOOKUP(B44,INV!$C$13:$E$39,3,FALSE)/12)*12,MOD(VLOOKUP(B44,INV!$C$13:$E$39,3,FALSE),12)))</f>
        <v>0</v>
      </c>
      <c r="E44" s="29" t="s">
        <v>33</v>
      </c>
      <c r="F44" s="30">
        <f t="shared" si="0"/>
        <v>0</v>
      </c>
      <c r="G44" s="31">
        <f t="shared" si="1"/>
        <v>0</v>
      </c>
      <c r="H44" s="32">
        <f t="shared" si="2"/>
        <v>0</v>
      </c>
      <c r="I44" s="33">
        <f t="shared" si="3"/>
        <v>0</v>
      </c>
      <c r="J44" s="36"/>
      <c r="K44" s="36"/>
    </row>
    <row r="45" s="15" customFormat="1" ht="41.1" customHeight="1" spans="1:11">
      <c r="A45" s="25" t="str">
        <f>IF(F45&lt;=0,"",(SUM($F$11:F44)+1)&amp;"-"&amp;SUM($F$11:F45))</f>
        <v/>
      </c>
      <c r="B45" s="37" t="str">
        <f>B44</f>
        <v>40700-143 (KM3.PO5.26)</v>
      </c>
      <c r="C45" s="27" t="s">
        <v>32</v>
      </c>
      <c r="D45" s="28">
        <f>IF(B45="","",IF(COUNTIF($B$12:B45,B45)=1,INT(VLOOKUP(B45,INV!$C$13:$E$39,3,FALSE)/12)*12,MOD(VLOOKUP(B45,INV!$C$13:$E$39,3,FALSE),12)))</f>
        <v>0</v>
      </c>
      <c r="E45" s="29" t="s">
        <v>33</v>
      </c>
      <c r="F45" s="30">
        <f t="shared" si="0"/>
        <v>0</v>
      </c>
      <c r="G45" s="31">
        <f t="shared" si="1"/>
        <v>0</v>
      </c>
      <c r="H45" s="32">
        <f t="shared" si="2"/>
        <v>0</v>
      </c>
      <c r="I45" s="33">
        <f t="shared" si="3"/>
        <v>0</v>
      </c>
      <c r="J45" s="36"/>
      <c r="K45" s="36"/>
    </row>
    <row r="46" s="15" customFormat="1" ht="41.1" customHeight="1" spans="1:11">
      <c r="A46" s="25" t="str">
        <f>IF(F46&lt;=0,"",(SUM($F$11:F45)+1)&amp;"-"&amp;SUM($F$11:F46))</f>
        <v/>
      </c>
      <c r="B46" s="38" t="s">
        <v>50</v>
      </c>
      <c r="C46" s="27" t="s">
        <v>32</v>
      </c>
      <c r="D46" s="28">
        <f>IF(B46="","",IF(COUNTIF($B$12:B46,B46)=1,INT(VLOOKUP(B46,INV!$C$13:$E$39,3,FALSE)/12)*12,MOD(VLOOKUP(B46,INV!$C$13:$E$39,3,FALSE),12)))</f>
        <v>0</v>
      </c>
      <c r="E46" s="29" t="s">
        <v>33</v>
      </c>
      <c r="F46" s="30">
        <f t="shared" si="0"/>
        <v>0</v>
      </c>
      <c r="G46" s="31">
        <f t="shared" si="1"/>
        <v>0</v>
      </c>
      <c r="H46" s="32">
        <f t="shared" si="2"/>
        <v>0</v>
      </c>
      <c r="I46" s="33">
        <f t="shared" si="3"/>
        <v>0</v>
      </c>
      <c r="J46" s="36"/>
      <c r="K46" s="36"/>
    </row>
    <row r="47" s="15" customFormat="1" ht="41.1" customHeight="1" spans="1:11">
      <c r="A47" s="25" t="str">
        <f>IF(F47&lt;=0,"",(SUM($F$11:F46)+1)&amp;"-"&amp;SUM($F$11:F47))</f>
        <v/>
      </c>
      <c r="B47" s="37" t="str">
        <f>B46</f>
        <v>45428-2LX.G (KM3.PO5.26)</v>
      </c>
      <c r="C47" s="27" t="s">
        <v>32</v>
      </c>
      <c r="D47" s="28">
        <f>IF(B47="","",IF(COUNTIF($B$12:B47,B47)=1,INT(VLOOKUP(B47,INV!$C$13:$E$39,3,FALSE)/12)*12,MOD(VLOOKUP(B47,INV!$C$13:$E$39,3,FALSE),12)))</f>
        <v>0</v>
      </c>
      <c r="E47" s="29" t="s">
        <v>33</v>
      </c>
      <c r="F47" s="30">
        <f t="shared" si="0"/>
        <v>0</v>
      </c>
      <c r="G47" s="31">
        <f t="shared" si="1"/>
        <v>0</v>
      </c>
      <c r="H47" s="32">
        <f t="shared" si="2"/>
        <v>0</v>
      </c>
      <c r="I47" s="33">
        <f t="shared" si="3"/>
        <v>0</v>
      </c>
      <c r="J47" s="36"/>
      <c r="K47" s="36"/>
    </row>
    <row r="48" s="15" customFormat="1" ht="41.1" customHeight="1" spans="1:11">
      <c r="A48" s="25" t="str">
        <f>IF(F48&lt;=0,"",(SUM($F$11:F47)+1)&amp;"-"&amp;SUM($F$11:F48))</f>
        <v>1-179</v>
      </c>
      <c r="B48" s="38" t="s">
        <v>51</v>
      </c>
      <c r="C48" s="27" t="s">
        <v>32</v>
      </c>
      <c r="D48" s="28">
        <f>IF(B48="","",IF(COUNTIF($B$12:B48,B48)=1,INT(VLOOKUP(B48,INV!$C$13:$E$39,3,FALSE)/12)*12,MOD(VLOOKUP(B48,INV!$C$13:$E$39,3,FALSE),12)))</f>
        <v>2148</v>
      </c>
      <c r="E48" s="29" t="s">
        <v>33</v>
      </c>
      <c r="F48" s="30">
        <f t="shared" si="0"/>
        <v>179</v>
      </c>
      <c r="G48" s="31">
        <f t="shared" si="1"/>
        <v>572.8</v>
      </c>
      <c r="H48" s="32">
        <f t="shared" si="2"/>
        <v>591</v>
      </c>
      <c r="I48" s="33">
        <f t="shared" si="3"/>
        <v>179</v>
      </c>
      <c r="J48" s="36"/>
      <c r="K48" s="36"/>
    </row>
    <row r="49" s="15" customFormat="1" ht="41.1" customHeight="1" spans="1:11">
      <c r="A49" s="25" t="str">
        <f>IF(F49&lt;=0,"",(SUM($F$11:F48)+1)&amp;"-"&amp;SUM($F$11:F49))</f>
        <v/>
      </c>
      <c r="B49" s="37" t="str">
        <f>B48</f>
        <v>40902-0MX.G (KM3.PO5.26)</v>
      </c>
      <c r="C49" s="27" t="s">
        <v>32</v>
      </c>
      <c r="D49" s="28">
        <f>IF(B49="","",IF(COUNTIF($B$12:B49,B49)=1,INT(VLOOKUP(B49,INV!$C$13:$E$39,3,FALSE)/12)*12,MOD(VLOOKUP(B49,INV!$C$13:$E$39,3,FALSE),12)))</f>
        <v>0</v>
      </c>
      <c r="E49" s="29" t="s">
        <v>33</v>
      </c>
      <c r="F49" s="30">
        <f t="shared" si="0"/>
        <v>0</v>
      </c>
      <c r="G49" s="31">
        <f t="shared" si="1"/>
        <v>0</v>
      </c>
      <c r="H49" s="32">
        <f t="shared" si="2"/>
        <v>0</v>
      </c>
      <c r="I49" s="33">
        <f t="shared" si="3"/>
        <v>0</v>
      </c>
      <c r="J49" s="36"/>
      <c r="K49" s="36"/>
    </row>
    <row r="50" s="15" customFormat="1" ht="41.1" customHeight="1" spans="1:11">
      <c r="A50" s="25" t="str">
        <f>IF(F50&lt;=0,"",(SUM($F$11:F49)+1)&amp;"-"&amp;SUM($F$11:F50))</f>
        <v/>
      </c>
      <c r="B50" s="38" t="s">
        <v>52</v>
      </c>
      <c r="C50" s="27" t="s">
        <v>32</v>
      </c>
      <c r="D50" s="28">
        <f>IF(B50="","",IF(COUNTIF($B$12:B50,B50)=1,INT(VLOOKUP(B50,INV!$C$13:$E$39,3,FALSE)/12)*12,MOD(VLOOKUP(B50,INV!$C$13:$E$39,3,FALSE),12)))</f>
        <v>0</v>
      </c>
      <c r="E50" s="29" t="s">
        <v>33</v>
      </c>
      <c r="F50" s="30">
        <f t="shared" si="0"/>
        <v>0</v>
      </c>
      <c r="G50" s="31">
        <f t="shared" si="1"/>
        <v>0</v>
      </c>
      <c r="H50" s="32">
        <f t="shared" si="2"/>
        <v>0</v>
      </c>
      <c r="I50" s="33">
        <f t="shared" si="3"/>
        <v>0</v>
      </c>
      <c r="J50" s="36"/>
      <c r="K50" s="36"/>
    </row>
    <row r="51" s="15" customFormat="1" ht="41.1" customHeight="1" spans="1:11">
      <c r="A51" s="25" t="str">
        <f>IF(F51&lt;=0,"",(SUM($F$11:F50)+1)&amp;"-"&amp;SUM($F$11:F51))</f>
        <v/>
      </c>
      <c r="B51" s="37" t="str">
        <f>B50</f>
        <v>43223-001.G (KM3.PO5.26)</v>
      </c>
      <c r="C51" s="27" t="s">
        <v>32</v>
      </c>
      <c r="D51" s="28">
        <f>IF(B51="","",IF(COUNTIF($B$12:B51,B51)=1,INT(VLOOKUP(B51,INV!$C$13:$E$39,3,FALSE)/12)*12,MOD(VLOOKUP(B51,INV!$C$13:$E$39,3,FALSE),12)))</f>
        <v>0</v>
      </c>
      <c r="E51" s="29" t="s">
        <v>33</v>
      </c>
      <c r="F51" s="30">
        <f t="shared" si="0"/>
        <v>0</v>
      </c>
      <c r="G51" s="31">
        <f t="shared" si="1"/>
        <v>0</v>
      </c>
      <c r="H51" s="32">
        <f t="shared" si="2"/>
        <v>0</v>
      </c>
      <c r="I51" s="33">
        <f t="shared" si="3"/>
        <v>0</v>
      </c>
      <c r="J51" s="36"/>
      <c r="K51" s="36"/>
    </row>
    <row r="52" s="15" customFormat="1" ht="41.1" customHeight="1" spans="1:11">
      <c r="A52" s="25" t="str">
        <f>IF(F52&lt;=0,"",(SUM($F$11:F51)+1)&amp;"-"&amp;SUM($F$11:F52))</f>
        <v>180-250</v>
      </c>
      <c r="B52" s="38" t="s">
        <v>53</v>
      </c>
      <c r="C52" s="27" t="s">
        <v>32</v>
      </c>
      <c r="D52" s="28">
        <f>IF(B52="","",IF(COUNTIF($B$12:B52,B52)=1,INT(VLOOKUP(B52,INV!$C$13:$E$39,3,FALSE)/12)*12,MOD(VLOOKUP(B52,INV!$C$13:$E$39,3,FALSE),12)))</f>
        <v>852</v>
      </c>
      <c r="E52" s="29" t="s">
        <v>33</v>
      </c>
      <c r="F52" s="30">
        <f t="shared" si="0"/>
        <v>71</v>
      </c>
      <c r="G52" s="31">
        <f t="shared" si="1"/>
        <v>227.2</v>
      </c>
      <c r="H52" s="32">
        <f t="shared" si="2"/>
        <v>235</v>
      </c>
      <c r="I52" s="33">
        <f t="shared" si="3"/>
        <v>71</v>
      </c>
      <c r="J52" s="36"/>
      <c r="K52" s="36"/>
    </row>
    <row r="53" s="15" customFormat="1" ht="41.1" customHeight="1" spans="1:11">
      <c r="A53" s="25" t="str">
        <f>IF(F53&lt;=0,"",(SUM($F$11:F52)+1)&amp;"-"&amp;SUM($F$11:F53))</f>
        <v/>
      </c>
      <c r="B53" s="37" t="str">
        <f>B52</f>
        <v>41878-0NG.G (KM3.PO5.26)</v>
      </c>
      <c r="C53" s="27" t="s">
        <v>32</v>
      </c>
      <c r="D53" s="28">
        <f>IF(B53="","",IF(COUNTIF($B$12:B53,B53)=1,INT(VLOOKUP(B53,INV!$C$13:$E$39,3,FALSE)/12)*12,MOD(VLOOKUP(B53,INV!$C$13:$E$39,3,FALSE),12)))</f>
        <v>0</v>
      </c>
      <c r="E53" s="29" t="s">
        <v>33</v>
      </c>
      <c r="F53" s="30">
        <f t="shared" si="0"/>
        <v>0</v>
      </c>
      <c r="G53" s="31">
        <f t="shared" si="1"/>
        <v>0</v>
      </c>
      <c r="H53" s="32">
        <f t="shared" si="2"/>
        <v>0</v>
      </c>
      <c r="I53" s="33">
        <f t="shared" si="3"/>
        <v>0</v>
      </c>
      <c r="J53" s="36"/>
      <c r="K53" s="36"/>
    </row>
    <row r="54" s="15" customFormat="1" ht="41.1" customHeight="1" spans="1:11">
      <c r="A54" s="25" t="str">
        <f>IF(F54&lt;=0,"",(SUM($F$11:F53)+1)&amp;"-"&amp;SUM($F$11:F54))</f>
        <v/>
      </c>
      <c r="B54" s="38" t="s">
        <v>54</v>
      </c>
      <c r="C54" s="27" t="s">
        <v>32</v>
      </c>
      <c r="D54" s="28">
        <f>IF(B54="","",IF(COUNTIF($B$12:B54,B54)=1,INT(VLOOKUP(B54,INV!$C$13:$E$39,3,FALSE)/12)*12,MOD(VLOOKUP(B54,INV!$C$13:$E$39,3,FALSE),12)))</f>
        <v>0</v>
      </c>
      <c r="E54" s="29" t="s">
        <v>33</v>
      </c>
      <c r="F54" s="30">
        <f t="shared" si="0"/>
        <v>0</v>
      </c>
      <c r="G54" s="31">
        <f t="shared" si="1"/>
        <v>0</v>
      </c>
      <c r="H54" s="32">
        <f t="shared" si="2"/>
        <v>0</v>
      </c>
      <c r="I54" s="33">
        <f t="shared" si="3"/>
        <v>0</v>
      </c>
      <c r="J54" s="36"/>
      <c r="K54" s="36"/>
    </row>
    <row r="55" s="15" customFormat="1" ht="41.1" customHeight="1" spans="1:11">
      <c r="A55" s="25" t="str">
        <f>IF(F55&lt;=0,"",(SUM($F$11:F54)+1)&amp;"-"&amp;SUM($F$11:F55))</f>
        <v/>
      </c>
      <c r="B55" s="37" t="str">
        <f>B54</f>
        <v>45849-0C4.G (KM3.PO5.26)</v>
      </c>
      <c r="C55" s="27" t="s">
        <v>32</v>
      </c>
      <c r="D55" s="28">
        <f>IF(B55="","",IF(COUNTIF($B$12:B55,B55)=1,INT(VLOOKUP(B55,INV!$C$13:$E$39,3,FALSE)/12)*12,MOD(VLOOKUP(B55,INV!$C$13:$E$39,3,FALSE),12)))</f>
        <v>0</v>
      </c>
      <c r="E55" s="29" t="s">
        <v>33</v>
      </c>
      <c r="F55" s="30">
        <f t="shared" si="0"/>
        <v>0</v>
      </c>
      <c r="G55" s="31">
        <f t="shared" si="1"/>
        <v>0</v>
      </c>
      <c r="H55" s="32">
        <f t="shared" si="2"/>
        <v>0</v>
      </c>
      <c r="I55" s="33">
        <f t="shared" si="3"/>
        <v>0</v>
      </c>
      <c r="J55" s="36"/>
      <c r="K55" s="36"/>
    </row>
    <row r="56" s="15" customFormat="1" ht="41.1" customHeight="1" spans="1:11">
      <c r="A56" s="25" t="str">
        <f>IF(F56&lt;=0,"",(SUM($F$11:F55)+1)&amp;"-"&amp;SUM($F$11:F56))</f>
        <v/>
      </c>
      <c r="B56" s="38" t="s">
        <v>55</v>
      </c>
      <c r="C56" s="27" t="s">
        <v>32</v>
      </c>
      <c r="D56" s="28">
        <f>IF(B56="","",IF(COUNTIF($B$12:B56,B56)=1,INT(VLOOKUP(B56,INV!$C$13:$E$39,3,FALSE)/12)*12,MOD(VLOOKUP(B56,INV!$C$13:$E$39,3,FALSE),12)))</f>
        <v>0</v>
      </c>
      <c r="E56" s="29" t="s">
        <v>33</v>
      </c>
      <c r="F56" s="30">
        <f t="shared" si="0"/>
        <v>0</v>
      </c>
      <c r="G56" s="31">
        <f t="shared" si="1"/>
        <v>0</v>
      </c>
      <c r="H56" s="32">
        <f t="shared" si="2"/>
        <v>0</v>
      </c>
      <c r="I56" s="33">
        <f t="shared" si="3"/>
        <v>0</v>
      </c>
      <c r="J56" s="36"/>
      <c r="K56" s="36"/>
    </row>
    <row r="57" s="15" customFormat="1" ht="41.1" customHeight="1" spans="1:11">
      <c r="A57" s="25" t="str">
        <f>IF(F57&lt;=0,"",(SUM($F$11:F56)+1)&amp;"-"&amp;SUM($F$11:F57))</f>
        <v/>
      </c>
      <c r="B57" s="37" t="str">
        <f>B56</f>
        <v>45849-2OG.G (KM3.PO5.26)</v>
      </c>
      <c r="C57" s="27" t="s">
        <v>32</v>
      </c>
      <c r="D57" s="28">
        <f>IF(B57="","",IF(COUNTIF($B$12:B57,B57)=1,INT(VLOOKUP(B57,INV!$C$13:$E$39,3,FALSE)/12)*12,MOD(VLOOKUP(B57,INV!$C$13:$E$39,3,FALSE),12)))</f>
        <v>0</v>
      </c>
      <c r="E57" s="29" t="s">
        <v>33</v>
      </c>
      <c r="F57" s="30">
        <f t="shared" si="0"/>
        <v>0</v>
      </c>
      <c r="G57" s="31">
        <f t="shared" si="1"/>
        <v>0</v>
      </c>
      <c r="H57" s="32">
        <f t="shared" si="2"/>
        <v>0</v>
      </c>
      <c r="I57" s="33">
        <f t="shared" si="3"/>
        <v>0</v>
      </c>
      <c r="J57" s="36"/>
      <c r="K57" s="36"/>
    </row>
    <row r="58" s="15" customFormat="1" ht="41.1" customHeight="1" spans="1:11">
      <c r="A58" s="25" t="str">
        <f>IF(F58&lt;=0,"",(SUM($F$11:F57)+1)&amp;"-"&amp;SUM($F$11:F58))</f>
        <v/>
      </c>
      <c r="B58" s="38" t="s">
        <v>56</v>
      </c>
      <c r="C58" s="27" t="s">
        <v>32</v>
      </c>
      <c r="D58" s="28">
        <f>IF(B58="","",IF(COUNTIF($B$12:B58,B58)=1,INT(VLOOKUP(B58,INV!$C$13:$E$39,3,FALSE)/12)*12,MOD(VLOOKUP(B58,INV!$C$13:$E$39,3,FALSE),12)))</f>
        <v>0</v>
      </c>
      <c r="E58" s="29" t="s">
        <v>33</v>
      </c>
      <c r="F58" s="30">
        <f t="shared" si="0"/>
        <v>0</v>
      </c>
      <c r="G58" s="31">
        <f t="shared" si="1"/>
        <v>0</v>
      </c>
      <c r="H58" s="32">
        <f t="shared" si="2"/>
        <v>0</v>
      </c>
      <c r="I58" s="33">
        <f t="shared" si="3"/>
        <v>0</v>
      </c>
      <c r="J58" s="36"/>
      <c r="K58" s="36"/>
    </row>
    <row r="59" s="15" customFormat="1" ht="41.1" customHeight="1" spans="1:11">
      <c r="A59" s="25" t="str">
        <f>IF(F59&lt;=0,"",(SUM($F$11:F58)+1)&amp;"-"&amp;SUM($F$11:F59))</f>
        <v/>
      </c>
      <c r="B59" s="37" t="str">
        <f>B58</f>
        <v>45902-1YZ.G (KM3.PO5.26)</v>
      </c>
      <c r="C59" s="27" t="s">
        <v>32</v>
      </c>
      <c r="D59" s="28">
        <f>IF(B59="","",IF(COUNTIF($B$12:B59,B59)=1,INT(VLOOKUP(B59,INV!$C$13:$E$39,3,FALSE)/12)*12,MOD(VLOOKUP(B59,INV!$C$13:$E$39,3,FALSE),12)))</f>
        <v>0</v>
      </c>
      <c r="E59" s="29" t="s">
        <v>33</v>
      </c>
      <c r="F59" s="30">
        <f t="shared" si="0"/>
        <v>0</v>
      </c>
      <c r="G59" s="31">
        <f t="shared" si="1"/>
        <v>0</v>
      </c>
      <c r="H59" s="32">
        <f t="shared" si="2"/>
        <v>0</v>
      </c>
      <c r="I59" s="33">
        <f t="shared" si="3"/>
        <v>0</v>
      </c>
      <c r="J59" s="36"/>
      <c r="K59" s="36"/>
    </row>
    <row r="60" s="15" customFormat="1" ht="41.1" customHeight="1" spans="1:11">
      <c r="A60" s="25" t="str">
        <f>IF(F60&lt;=0,"",(SUM($F$11:F59)+1)&amp;"-"&amp;SUM($F$11:F60))</f>
        <v/>
      </c>
      <c r="B60" s="38" t="s">
        <v>57</v>
      </c>
      <c r="C60" s="27" t="s">
        <v>32</v>
      </c>
      <c r="D60" s="28">
        <f>IF(B60="","",IF(COUNTIF($B$12:B60,B60)=1,INT(VLOOKUP(B60,INV!$C$13:$E$39,3,FALSE)/12)*12,MOD(VLOOKUP(B60,INV!$C$13:$E$39,3,FALSE),12)))</f>
        <v>0</v>
      </c>
      <c r="E60" s="29" t="s">
        <v>33</v>
      </c>
      <c r="F60" s="30">
        <f t="shared" si="0"/>
        <v>0</v>
      </c>
      <c r="G60" s="31">
        <f t="shared" si="1"/>
        <v>0</v>
      </c>
      <c r="H60" s="32">
        <f t="shared" si="2"/>
        <v>0</v>
      </c>
      <c r="I60" s="33">
        <f t="shared" si="3"/>
        <v>0</v>
      </c>
      <c r="J60" s="36"/>
      <c r="K60" s="36"/>
    </row>
    <row r="61" s="15" customFormat="1" ht="41.1" customHeight="1" spans="1:11">
      <c r="A61" s="25" t="str">
        <f>IF(F61&lt;=0,"",(SUM($F$11:F60)+1)&amp;"-"&amp;SUM($F$11:F61))</f>
        <v/>
      </c>
      <c r="B61" s="37" t="str">
        <f>B60</f>
        <v>45862-0TA.G (KM3.PO5.26)</v>
      </c>
      <c r="C61" s="27" t="s">
        <v>32</v>
      </c>
      <c r="D61" s="28">
        <f>IF(B61="","",IF(COUNTIF($B$12:B61,B61)=1,INT(VLOOKUP(B61,INV!$C$13:$E$39,3,FALSE)/12)*12,MOD(VLOOKUP(B61,INV!$C$13:$E$39,3,FALSE),12)))</f>
        <v>0</v>
      </c>
      <c r="E61" s="29" t="s">
        <v>33</v>
      </c>
      <c r="F61" s="30">
        <f t="shared" si="0"/>
        <v>0</v>
      </c>
      <c r="G61" s="31">
        <f t="shared" si="1"/>
        <v>0</v>
      </c>
      <c r="H61" s="32">
        <f t="shared" si="2"/>
        <v>0</v>
      </c>
      <c r="I61" s="33">
        <f t="shared" si="3"/>
        <v>0</v>
      </c>
      <c r="J61" s="36"/>
      <c r="K61" s="36"/>
    </row>
    <row r="62" s="15" customFormat="1" ht="41.1" customHeight="1" spans="1:11">
      <c r="A62" s="25" t="str">
        <f>IF(F62&lt;=0,"",(SUM($F$11:F61)+1)&amp;"-"&amp;SUM($F$11:F62))</f>
        <v/>
      </c>
      <c r="B62" s="38" t="s">
        <v>58</v>
      </c>
      <c r="C62" s="27" t="s">
        <v>32</v>
      </c>
      <c r="D62" s="28">
        <f>IF(B62="","",IF(COUNTIF($B$12:B62,B62)=1,INT(VLOOKUP(B62,INV!$C$13:$E$39,3,FALSE)/12)*12,MOD(VLOOKUP(B62,INV!$C$13:$E$39,3,FALSE),12)))</f>
        <v>0</v>
      </c>
      <c r="E62" s="29" t="s">
        <v>33</v>
      </c>
      <c r="F62" s="30">
        <f t="shared" si="0"/>
        <v>0</v>
      </c>
      <c r="G62" s="31">
        <f t="shared" si="1"/>
        <v>0</v>
      </c>
      <c r="H62" s="32">
        <f t="shared" si="2"/>
        <v>0</v>
      </c>
      <c r="I62" s="33">
        <f t="shared" si="3"/>
        <v>0</v>
      </c>
      <c r="J62" s="36"/>
      <c r="K62" s="36"/>
    </row>
    <row r="63" s="15" customFormat="1" ht="41.1" customHeight="1" spans="1:11">
      <c r="A63" s="25" t="str">
        <f>IF(F63&lt;=0,"",(SUM($F$11:F62)+1)&amp;"-"&amp;SUM($F$11:F63))</f>
        <v/>
      </c>
      <c r="B63" s="37" t="str">
        <f>B62</f>
        <v>45862-1ZK.G (KM3.PO5.26)</v>
      </c>
      <c r="C63" s="27" t="s">
        <v>32</v>
      </c>
      <c r="D63" s="28">
        <f>IF(B63="","",IF(COUNTIF($B$12:B63,B63)=1,INT(VLOOKUP(B63,INV!$C$13:$E$39,3,FALSE)/12)*12,MOD(VLOOKUP(B63,INV!$C$13:$E$39,3,FALSE),12)))</f>
        <v>0</v>
      </c>
      <c r="E63" s="29" t="s">
        <v>33</v>
      </c>
      <c r="F63" s="30">
        <f t="shared" si="0"/>
        <v>0</v>
      </c>
      <c r="G63" s="31">
        <f t="shared" si="1"/>
        <v>0</v>
      </c>
      <c r="H63" s="32">
        <f t="shared" si="2"/>
        <v>0</v>
      </c>
      <c r="I63" s="33">
        <f t="shared" si="3"/>
        <v>0</v>
      </c>
      <c r="J63" s="36"/>
      <c r="K63" s="36"/>
    </row>
    <row r="64" s="15" customFormat="1" ht="41.1" customHeight="1" spans="1:11">
      <c r="A64" s="25" t="str">
        <f>IF(F64&lt;=0,"",(SUM($F$11:F63)+1)&amp;"-"&amp;SUM($F$11:F64))</f>
        <v/>
      </c>
      <c r="B64" s="38" t="s">
        <v>59</v>
      </c>
      <c r="C64" s="27" t="s">
        <v>32</v>
      </c>
      <c r="D64" s="28">
        <f>IF(B64="","",IF(COUNTIF($B$12:B64,B64)=1,INT(VLOOKUP(B64,INV!$C$13:$E$39,3,FALSE)/12)*12,MOD(VLOOKUP(B64,INV!$C$13:$E$39,3,FALSE),12)))</f>
        <v>0</v>
      </c>
      <c r="E64" s="29" t="s">
        <v>33</v>
      </c>
      <c r="F64" s="30">
        <f t="shared" si="0"/>
        <v>0</v>
      </c>
      <c r="G64" s="31">
        <f t="shared" si="1"/>
        <v>0</v>
      </c>
      <c r="H64" s="32">
        <f t="shared" si="2"/>
        <v>0</v>
      </c>
      <c r="I64" s="33">
        <f t="shared" si="3"/>
        <v>0</v>
      </c>
      <c r="J64" s="36"/>
      <c r="K64" s="36"/>
    </row>
    <row r="65" s="15" customFormat="1" ht="41.1" customHeight="1" spans="1:11">
      <c r="A65" s="25" t="str">
        <f>IF(F65&lt;=0,"",(SUM($F$11:F64)+1)&amp;"-"&amp;SUM($F$11:F65))</f>
        <v/>
      </c>
      <c r="B65" s="37" t="str">
        <f>B64</f>
        <v>45862-3ZZ.G (KM3.PO5.26)</v>
      </c>
      <c r="C65" s="27" t="s">
        <v>32</v>
      </c>
      <c r="D65" s="28">
        <f>IF(B65="","",IF(COUNTIF($B$12:B65,B65)=1,INT(VLOOKUP(B65,INV!$C$13:$E$41,3,FALSE)/12)*12,MOD(VLOOKUP(B65,INV!$C$13:$E$41,3,FALSE),12)))</f>
        <v>0</v>
      </c>
      <c r="E65" s="29" t="s">
        <v>33</v>
      </c>
      <c r="F65" s="30">
        <f t="shared" si="0"/>
        <v>0</v>
      </c>
      <c r="G65" s="31">
        <f t="shared" si="1"/>
        <v>0</v>
      </c>
      <c r="H65" s="32">
        <f t="shared" si="2"/>
        <v>0</v>
      </c>
      <c r="I65" s="33">
        <f t="shared" si="3"/>
        <v>0</v>
      </c>
      <c r="J65" s="36"/>
      <c r="K65" s="36"/>
    </row>
    <row r="66" s="15" customFormat="1" ht="41.1" customHeight="1" spans="1:11">
      <c r="A66" s="25" t="str">
        <f>IF(F66&lt;=0,"",(SUM($F$11:F65)+1)&amp;"-"&amp;SUM($F$11:F66))</f>
        <v/>
      </c>
      <c r="B66" s="26" t="s">
        <v>60</v>
      </c>
      <c r="C66" s="27" t="s">
        <v>32</v>
      </c>
      <c r="D66" s="28">
        <f>IF(B66="","",IF(COUNTIF($B$12:B66,B66)=1,INT(VLOOKUP(B66,INV!$C$13:$E$41,3,FALSE)/12)*12,MOD(VLOOKUP(B66,INV!$C$13:$E$41,3,FALSE),12)))</f>
        <v>0</v>
      </c>
      <c r="E66" s="29" t="s">
        <v>33</v>
      </c>
      <c r="F66" s="30">
        <f t="shared" si="0"/>
        <v>0</v>
      </c>
      <c r="G66" s="31">
        <f t="shared" si="1"/>
        <v>0</v>
      </c>
      <c r="H66" s="32">
        <f t="shared" si="2"/>
        <v>0</v>
      </c>
      <c r="I66" s="33">
        <f t="shared" si="3"/>
        <v>0</v>
      </c>
      <c r="J66" s="16"/>
      <c r="K66" s="16"/>
    </row>
    <row r="67" s="15" customFormat="1" ht="41.1" customHeight="1" spans="1:11">
      <c r="A67" s="25" t="str">
        <f>IF(F67&lt;=0,"",(SUM($F$11:F66)+1)&amp;"-"&amp;SUM($F$11:F67))</f>
        <v/>
      </c>
      <c r="B67" s="26" t="s">
        <v>60</v>
      </c>
      <c r="C67" s="27" t="s">
        <v>32</v>
      </c>
      <c r="D67" s="28">
        <f>IF(B67="","",IF(COUNTIF($B$12:B67,B67)=1,INT(VLOOKUP(B67,INV!$C$13:$E$41,3,FALSE)/12)*12,MOD(VLOOKUP(B67,INV!$C$13:$E$41,3,FALSE),12)))</f>
        <v>0</v>
      </c>
      <c r="E67" s="29" t="s">
        <v>33</v>
      </c>
      <c r="F67" s="30">
        <f t="shared" si="0"/>
        <v>0</v>
      </c>
      <c r="G67" s="31">
        <f t="shared" si="1"/>
        <v>0</v>
      </c>
      <c r="H67" s="32">
        <f t="shared" si="2"/>
        <v>0</v>
      </c>
      <c r="I67" s="33">
        <f t="shared" si="3"/>
        <v>0</v>
      </c>
      <c r="J67" s="16"/>
      <c r="K67" s="16"/>
    </row>
    <row r="68" s="15" customFormat="1" ht="41.1" customHeight="1" spans="1:11">
      <c r="A68" s="25" t="str">
        <f>IF(F68&lt;=0,"",(SUM($F$11:F67)+1)&amp;"-"&amp;SUM($F$11:F68))</f>
        <v>251-334</v>
      </c>
      <c r="B68" s="26" t="s">
        <v>61</v>
      </c>
      <c r="C68" s="27" t="s">
        <v>32</v>
      </c>
      <c r="D68" s="28">
        <f>IF(B68="","",IF(COUNTIF($B$12:B68,B68)=1,INT(VLOOKUP(B68,INV!$C$13:$E$41,3,FALSE)/12)*12,MOD(VLOOKUP(B68,INV!$C$13:$E$41,3,FALSE),12)))</f>
        <v>1008</v>
      </c>
      <c r="E68" s="29" t="s">
        <v>33</v>
      </c>
      <c r="F68" s="30">
        <f t="shared" si="0"/>
        <v>84</v>
      </c>
      <c r="G68" s="31">
        <f t="shared" si="1"/>
        <v>268.8</v>
      </c>
      <c r="H68" s="32">
        <f t="shared" si="2"/>
        <v>278</v>
      </c>
      <c r="I68" s="33">
        <f t="shared" si="3"/>
        <v>84</v>
      </c>
      <c r="J68" s="16"/>
      <c r="K68" s="16"/>
    </row>
    <row r="69" s="15" customFormat="1" ht="41.1" customHeight="1" spans="1:11">
      <c r="A69" s="25" t="str">
        <f>IF(F69&lt;=0,"",(SUM($F$11:F68)+1)&amp;"-"&amp;SUM($F$11:F69))</f>
        <v/>
      </c>
      <c r="B69" s="26" t="s">
        <v>61</v>
      </c>
      <c r="C69" s="27" t="s">
        <v>32</v>
      </c>
      <c r="D69" s="28">
        <f>IF(B69="","",IF(COUNTIF($B$12:B69,B69)=1,INT(VLOOKUP(B69,INV!$C$13:$E$41,3,FALSE)/12)*12,MOD(VLOOKUP(B69,INV!$C$13:$E$41,3,FALSE),12)))</f>
        <v>0</v>
      </c>
      <c r="E69" s="29" t="s">
        <v>33</v>
      </c>
      <c r="F69" s="30">
        <f t="shared" si="0"/>
        <v>0</v>
      </c>
      <c r="G69" s="31">
        <f t="shared" si="1"/>
        <v>0</v>
      </c>
      <c r="H69" s="32">
        <f t="shared" si="2"/>
        <v>0</v>
      </c>
      <c r="I69" s="33">
        <f t="shared" si="3"/>
        <v>0</v>
      </c>
      <c r="J69" s="16"/>
      <c r="K69" s="16"/>
    </row>
    <row r="70" s="15" customFormat="1" ht="41.1" customHeight="1" spans="1:11">
      <c r="A70" s="39" t="s">
        <v>72</v>
      </c>
      <c r="B70" s="40" t="s">
        <v>62</v>
      </c>
      <c r="C70" s="41"/>
      <c r="D70" s="42">
        <f>SUM(D11:D69)</f>
        <v>4008</v>
      </c>
      <c r="E70" s="42"/>
      <c r="F70" s="42">
        <f>SUM(F11:F69)</f>
        <v>334</v>
      </c>
      <c r="G70" s="43">
        <f>SUM(G11:G69)</f>
        <v>1068.8</v>
      </c>
      <c r="H70" s="32">
        <f t="shared" si="2"/>
        <v>1103</v>
      </c>
      <c r="I70" s="16"/>
      <c r="J70" s="16"/>
      <c r="K70" s="16"/>
    </row>
    <row r="71" ht="27" customHeight="1" spans="1:11">
      <c r="A71" s="44"/>
      <c r="B71" s="35"/>
      <c r="C71" s="45"/>
      <c r="D71" s="46"/>
      <c r="E71" s="47"/>
      <c r="F71" s="48"/>
      <c r="G71" s="49"/>
      <c r="H71" s="50"/>
      <c r="I71" s="51">
        <f>D71/12</f>
        <v>0</v>
      </c>
      <c r="J71" s="36">
        <f>J22+F71</f>
        <v>0</v>
      </c>
      <c r="K71" s="36"/>
    </row>
    <row r="72" ht="18.75" customHeight="1" spans="1:11">
      <c r="A72" s="52"/>
      <c r="B72" s="52"/>
      <c r="C72" s="52"/>
      <c r="D72" s="52"/>
      <c r="E72" s="52"/>
      <c r="F72" s="52"/>
      <c r="G72" s="52"/>
      <c r="H72" s="52"/>
    </row>
    <row r="73" ht="20.25" spans="1:11">
      <c r="A73" s="22"/>
      <c r="B73" s="22"/>
      <c r="C73" s="53"/>
      <c r="D73" s="22"/>
      <c r="E73" s="22"/>
      <c r="F73" s="22"/>
      <c r="G73" s="22"/>
      <c r="H73" s="22"/>
    </row>
    <row r="74" ht="20.25" spans="1:11">
      <c r="A74" s="22"/>
      <c r="B74" s="22"/>
      <c r="C74" s="53"/>
      <c r="D74" s="22"/>
      <c r="E74" s="22" t="s">
        <v>0</v>
      </c>
      <c r="F74" s="22"/>
      <c r="G74" s="22"/>
      <c r="H74" s="22"/>
    </row>
    <row r="75" ht="20.25" spans="1:11">
      <c r="A75" s="22"/>
      <c r="B75" s="22"/>
      <c r="C75" s="53"/>
      <c r="D75" s="22"/>
      <c r="E75" s="22"/>
      <c r="F75" s="22"/>
      <c r="G75" s="22"/>
      <c r="H75" s="22"/>
    </row>
    <row r="76" ht="20.25" spans="1:11">
      <c r="A76" s="22"/>
      <c r="B76" s="22"/>
      <c r="C76" s="53"/>
      <c r="D76" s="22"/>
      <c r="E76" s="22"/>
      <c r="F76" s="22"/>
      <c r="G76" s="22"/>
      <c r="H76" s="22"/>
    </row>
    <row r="77" ht="20.25" spans="1:11">
      <c r="A77" s="22"/>
      <c r="B77" s="22"/>
      <c r="C77" s="53"/>
      <c r="D77" s="22"/>
      <c r="E77" s="22"/>
      <c r="F77" s="22"/>
      <c r="G77" s="22"/>
      <c r="H77" s="22"/>
    </row>
    <row r="78" ht="20.25" spans="1:11">
      <c r="A78" s="22"/>
      <c r="B78" s="22"/>
      <c r="C78" s="53"/>
      <c r="D78" s="22"/>
      <c r="E78" s="22"/>
      <c r="F78" s="22"/>
      <c r="G78" s="22"/>
      <c r="H78" s="22"/>
    </row>
  </sheetData>
  <autoFilter xmlns:etc="http://www.wps.cn/officeDocument/2017/etCustomData" ref="A11:K71" etc:filterBottomFollowUsedRange="0">
    <sortState ref="A11:K71">
      <sortCondition ref="A11:A67"/>
    </sortState>
    <extLst/>
  </autoFilter>
  <mergeCells count="13">
    <mergeCell ref="A1:H1"/>
    <mergeCell ref="A2:H2"/>
    <mergeCell ref="A3:H3"/>
    <mergeCell ref="A4:B4"/>
    <mergeCell ref="C4:F4"/>
    <mergeCell ref="C5:F5"/>
    <mergeCell ref="C6:F6"/>
    <mergeCell ref="C7:F7"/>
    <mergeCell ref="A8:B8"/>
    <mergeCell ref="C8:F8"/>
    <mergeCell ref="C9:F9"/>
    <mergeCell ref="C10:F10"/>
    <mergeCell ref="B70:C70"/>
  </mergeCells>
  <pageMargins left="0.5" right="0.5" top="0.5" bottom="0.5" header="0" footer="0"/>
  <pageSetup paperSize="9" scale="25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opLeftCell="A13" workbookViewId="0">
      <selection activeCell="C36" sqref="C36"/>
    </sheetView>
  </sheetViews>
  <sheetFormatPr defaultColWidth="23.5" defaultRowHeight="20.25" outlineLevelCol="7"/>
  <cols>
    <col min="1" max="2" width="23.5" style="11"/>
    <col min="3" max="3" width="57.5" style="11" customWidth="1"/>
    <col min="4" max="4" width="23.5" style="11"/>
    <col min="5" max="5" width="15.3333333333333" style="11" customWidth="1"/>
    <col min="6" max="6" width="23.5" style="11"/>
    <col min="7" max="7" width="25.8333333333333" style="11" customWidth="1"/>
    <col min="8" max="16384" width="23.5" style="11"/>
  </cols>
  <sheetData>
    <row r="1" ht="24.75" customHeight="1" spans="1:8">
      <c r="A1" s="12" t="s">
        <v>73</v>
      </c>
      <c r="B1" s="11" t="s">
        <v>74</v>
      </c>
      <c r="C1" s="11" t="s">
        <v>31</v>
      </c>
      <c r="D1" s="11">
        <v>3.2</v>
      </c>
      <c r="E1" s="11">
        <v>8.2</v>
      </c>
      <c r="F1" s="13" t="s">
        <v>75</v>
      </c>
      <c r="G1" s="2" t="s">
        <v>76</v>
      </c>
      <c r="H1" s="2">
        <v>64041990</v>
      </c>
    </row>
    <row r="2" ht="24.75" customHeight="1" spans="1:8">
      <c r="A2" s="12" t="s">
        <v>77</v>
      </c>
      <c r="B2" s="11" t="s">
        <v>74</v>
      </c>
      <c r="C2" s="11" t="s">
        <v>34</v>
      </c>
      <c r="D2" s="11">
        <v>3.2</v>
      </c>
      <c r="E2" s="11">
        <v>8.2</v>
      </c>
      <c r="F2" s="13" t="s">
        <v>75</v>
      </c>
      <c r="G2" s="2" t="s">
        <v>76</v>
      </c>
      <c r="H2" s="2">
        <v>64041990</v>
      </c>
    </row>
    <row r="3" ht="24.75" customHeight="1" spans="1:8">
      <c r="A3" s="12" t="s">
        <v>78</v>
      </c>
      <c r="B3" s="11" t="s">
        <v>74</v>
      </c>
      <c r="C3" s="11" t="s">
        <v>35</v>
      </c>
      <c r="D3" s="11">
        <v>3.2</v>
      </c>
      <c r="E3" s="11">
        <v>8.2</v>
      </c>
      <c r="F3" s="13" t="s">
        <v>75</v>
      </c>
      <c r="G3" s="2" t="s">
        <v>76</v>
      </c>
      <c r="H3" s="2">
        <v>64041990</v>
      </c>
    </row>
    <row r="4" ht="24.75" customHeight="1" spans="1:8">
      <c r="A4" s="12" t="s">
        <v>79</v>
      </c>
      <c r="B4" s="11" t="s">
        <v>74</v>
      </c>
      <c r="C4" s="11" t="s">
        <v>36</v>
      </c>
      <c r="D4" s="11">
        <v>3</v>
      </c>
      <c r="E4" s="11">
        <v>8.1</v>
      </c>
      <c r="F4" s="13" t="s">
        <v>80</v>
      </c>
      <c r="G4" s="2" t="s">
        <v>76</v>
      </c>
      <c r="H4" s="2">
        <v>64041990</v>
      </c>
    </row>
    <row r="5" ht="24.75" customHeight="1" spans="1:8">
      <c r="A5" s="12" t="s">
        <v>81</v>
      </c>
      <c r="B5" s="11" t="s">
        <v>74</v>
      </c>
      <c r="C5" s="11" t="s">
        <v>37</v>
      </c>
      <c r="D5" s="11">
        <v>3.2</v>
      </c>
      <c r="E5" s="11">
        <v>8.2</v>
      </c>
      <c r="F5" s="13" t="s">
        <v>75</v>
      </c>
      <c r="G5" s="2" t="s">
        <v>76</v>
      </c>
      <c r="H5" s="2">
        <v>64041990</v>
      </c>
    </row>
    <row r="6" ht="24.75" customHeight="1" spans="1:8">
      <c r="A6" s="12" t="s">
        <v>82</v>
      </c>
      <c r="B6" s="11" t="s">
        <v>74</v>
      </c>
      <c r="C6" s="11" t="s">
        <v>38</v>
      </c>
      <c r="D6" s="11">
        <v>3</v>
      </c>
      <c r="E6" s="11">
        <v>8.1</v>
      </c>
      <c r="F6" s="13" t="s">
        <v>80</v>
      </c>
      <c r="G6" s="2" t="s">
        <v>76</v>
      </c>
      <c r="H6" s="2">
        <v>64041990</v>
      </c>
    </row>
    <row r="7" ht="24.75" customHeight="1" spans="1:8">
      <c r="A7" s="12" t="s">
        <v>83</v>
      </c>
      <c r="B7" s="11" t="s">
        <v>74</v>
      </c>
      <c r="C7" s="11" t="s">
        <v>39</v>
      </c>
      <c r="D7" s="11">
        <v>3</v>
      </c>
      <c r="E7" s="11">
        <v>8.1</v>
      </c>
      <c r="F7" s="13" t="s">
        <v>80</v>
      </c>
      <c r="G7" s="2" t="s">
        <v>76</v>
      </c>
      <c r="H7" s="2">
        <v>64041990</v>
      </c>
    </row>
    <row r="8" ht="24.75" customHeight="1" spans="1:8">
      <c r="A8" s="12" t="s">
        <v>84</v>
      </c>
      <c r="B8" s="11" t="s">
        <v>74</v>
      </c>
      <c r="C8" s="11" t="s">
        <v>40</v>
      </c>
      <c r="D8" s="11">
        <v>3</v>
      </c>
      <c r="E8" s="11">
        <v>8.1</v>
      </c>
      <c r="F8" s="13" t="s">
        <v>80</v>
      </c>
      <c r="G8" s="2" t="s">
        <v>76</v>
      </c>
      <c r="H8" s="2">
        <v>64041990</v>
      </c>
    </row>
    <row r="9" ht="24.75" customHeight="1" spans="1:8">
      <c r="A9" s="12" t="s">
        <v>85</v>
      </c>
      <c r="B9" s="11" t="s">
        <v>74</v>
      </c>
      <c r="C9" s="11" t="s">
        <v>41</v>
      </c>
      <c r="D9" s="11">
        <v>3.2</v>
      </c>
      <c r="E9" s="11">
        <v>8.2</v>
      </c>
      <c r="F9" s="13" t="s">
        <v>75</v>
      </c>
      <c r="G9" s="2" t="s">
        <v>76</v>
      </c>
      <c r="H9" s="2">
        <v>64041990</v>
      </c>
    </row>
    <row r="10" ht="24.75" customHeight="1" spans="1:8">
      <c r="A10" s="12" t="s">
        <v>86</v>
      </c>
      <c r="B10" s="11" t="s">
        <v>74</v>
      </c>
      <c r="C10" s="11" t="s">
        <v>42</v>
      </c>
      <c r="D10" s="11">
        <v>3.2</v>
      </c>
      <c r="E10" s="11">
        <v>8.2</v>
      </c>
      <c r="F10" s="13" t="s">
        <v>75</v>
      </c>
      <c r="G10" s="2" t="s">
        <v>76</v>
      </c>
      <c r="H10" s="2">
        <v>64041990</v>
      </c>
    </row>
    <row r="11" ht="24.75" customHeight="1" spans="1:8">
      <c r="A11" s="12" t="s">
        <v>87</v>
      </c>
      <c r="B11" s="11" t="s">
        <v>74</v>
      </c>
      <c r="C11" s="11" t="s">
        <v>43</v>
      </c>
      <c r="D11" s="11">
        <v>3.2</v>
      </c>
      <c r="E11" s="11">
        <v>8.2</v>
      </c>
      <c r="F11" s="13" t="s">
        <v>75</v>
      </c>
      <c r="G11" s="2" t="s">
        <v>76</v>
      </c>
      <c r="H11" s="2">
        <v>64041990</v>
      </c>
    </row>
    <row r="12" ht="24.75" customHeight="1" spans="1:8">
      <c r="A12" s="12" t="s">
        <v>88</v>
      </c>
      <c r="B12" s="11" t="s">
        <v>74</v>
      </c>
      <c r="C12" s="11" t="s">
        <v>44</v>
      </c>
      <c r="D12" s="11">
        <v>3.2</v>
      </c>
      <c r="E12" s="11">
        <v>8.2</v>
      </c>
      <c r="F12" s="13" t="s">
        <v>75</v>
      </c>
      <c r="G12" s="2" t="s">
        <v>76</v>
      </c>
      <c r="H12" s="2">
        <v>64041990</v>
      </c>
    </row>
    <row r="13" ht="24.75" customHeight="1" spans="1:8">
      <c r="A13" s="12" t="s">
        <v>89</v>
      </c>
      <c r="B13" s="11" t="s">
        <v>74</v>
      </c>
      <c r="C13" s="11" t="s">
        <v>45</v>
      </c>
      <c r="D13" s="11">
        <v>3.02</v>
      </c>
      <c r="E13" s="11">
        <v>8.2</v>
      </c>
      <c r="F13" s="13" t="s">
        <v>90</v>
      </c>
      <c r="G13" s="2" t="s">
        <v>76</v>
      </c>
      <c r="H13" s="2">
        <v>64041990</v>
      </c>
    </row>
    <row r="14" ht="24.75" customHeight="1" spans="1:8">
      <c r="A14" s="12" t="s">
        <v>91</v>
      </c>
      <c r="B14" s="11" t="s">
        <v>74</v>
      </c>
      <c r="C14" s="11" t="s">
        <v>46</v>
      </c>
      <c r="D14" s="11">
        <v>3.02</v>
      </c>
      <c r="E14" s="11">
        <v>8.2</v>
      </c>
      <c r="F14" s="13" t="s">
        <v>90</v>
      </c>
      <c r="G14" s="2" t="s">
        <v>76</v>
      </c>
      <c r="H14" s="2">
        <v>64041990</v>
      </c>
    </row>
    <row r="15" ht="24.75" customHeight="1" spans="1:8">
      <c r="A15" s="12" t="s">
        <v>92</v>
      </c>
      <c r="B15" s="11" t="s">
        <v>74</v>
      </c>
      <c r="C15" s="11" t="s">
        <v>47</v>
      </c>
      <c r="D15" s="11">
        <v>3.2</v>
      </c>
      <c r="E15" s="11">
        <v>8.2</v>
      </c>
      <c r="F15" s="13" t="s">
        <v>75</v>
      </c>
      <c r="G15" s="2" t="s">
        <v>76</v>
      </c>
      <c r="H15" s="2">
        <v>64041990</v>
      </c>
    </row>
    <row r="16" ht="24.75" customHeight="1" spans="1:8">
      <c r="A16" s="12" t="s">
        <v>93</v>
      </c>
      <c r="B16" s="11" t="s">
        <v>74</v>
      </c>
      <c r="C16" s="11" t="s">
        <v>48</v>
      </c>
      <c r="D16" s="11">
        <v>2.99</v>
      </c>
      <c r="E16" s="11">
        <v>8</v>
      </c>
      <c r="F16" s="13" t="s">
        <v>94</v>
      </c>
      <c r="G16" s="2" t="s">
        <v>76</v>
      </c>
      <c r="H16" s="2">
        <v>64041990</v>
      </c>
    </row>
    <row r="17" ht="24.75" customHeight="1" spans="1:8">
      <c r="A17" s="12" t="s">
        <v>95</v>
      </c>
      <c r="B17" s="11" t="s">
        <v>74</v>
      </c>
      <c r="C17" s="11" t="s">
        <v>49</v>
      </c>
      <c r="D17" s="11">
        <v>3</v>
      </c>
      <c r="E17" s="11">
        <v>8.1</v>
      </c>
      <c r="F17" s="13" t="s">
        <v>80</v>
      </c>
      <c r="G17" s="2" t="s">
        <v>76</v>
      </c>
      <c r="H17" s="2">
        <v>64041990</v>
      </c>
    </row>
    <row r="18" ht="24.75" customHeight="1" spans="1:8">
      <c r="A18" s="12" t="s">
        <v>96</v>
      </c>
      <c r="B18" s="11" t="s">
        <v>74</v>
      </c>
      <c r="C18" s="11" t="s">
        <v>50</v>
      </c>
      <c r="D18" s="11">
        <v>1.16</v>
      </c>
      <c r="E18" s="11">
        <v>8.1</v>
      </c>
      <c r="F18" s="13" t="s">
        <v>97</v>
      </c>
      <c r="G18" s="2" t="s">
        <v>76</v>
      </c>
      <c r="H18" s="2">
        <v>64041990</v>
      </c>
    </row>
    <row r="19" ht="24.75" customHeight="1" spans="1:8">
      <c r="A19" s="12" t="s">
        <v>98</v>
      </c>
      <c r="B19" s="11" t="s">
        <v>74</v>
      </c>
      <c r="C19" s="11" t="s">
        <v>52</v>
      </c>
      <c r="D19" s="11">
        <v>1.16</v>
      </c>
      <c r="E19" s="11">
        <v>7.2</v>
      </c>
      <c r="F19" s="13" t="s">
        <v>97</v>
      </c>
      <c r="G19" s="2" t="s">
        <v>76</v>
      </c>
      <c r="H19" s="2">
        <v>64041990</v>
      </c>
    </row>
    <row r="20" ht="24.75" customHeight="1" spans="1:8">
      <c r="A20" s="12" t="s">
        <v>99</v>
      </c>
      <c r="B20" s="11" t="s">
        <v>74</v>
      </c>
      <c r="C20" s="11" t="s">
        <v>53</v>
      </c>
      <c r="D20" s="11">
        <v>1.16</v>
      </c>
      <c r="E20" s="11">
        <v>7.2</v>
      </c>
      <c r="F20" s="13" t="s">
        <v>97</v>
      </c>
      <c r="G20" s="2" t="s">
        <v>76</v>
      </c>
      <c r="H20" s="2">
        <v>64041990</v>
      </c>
    </row>
    <row r="21" ht="24.75" customHeight="1" spans="1:8">
      <c r="A21" s="12" t="s">
        <v>100</v>
      </c>
      <c r="B21" s="11" t="s">
        <v>74</v>
      </c>
      <c r="C21" s="11" t="s">
        <v>54</v>
      </c>
      <c r="D21" s="11">
        <v>1.16</v>
      </c>
      <c r="E21" s="11">
        <v>7.2</v>
      </c>
      <c r="F21" s="13" t="s">
        <v>97</v>
      </c>
      <c r="G21" s="2" t="s">
        <v>76</v>
      </c>
      <c r="H21" s="2">
        <v>64041990</v>
      </c>
    </row>
    <row r="22" ht="24.75" customHeight="1" spans="1:8">
      <c r="A22" s="12" t="s">
        <v>101</v>
      </c>
      <c r="B22" s="11" t="s">
        <v>74</v>
      </c>
      <c r="C22" s="11" t="s">
        <v>55</v>
      </c>
      <c r="D22" s="11">
        <v>1.16</v>
      </c>
      <c r="E22" s="11">
        <v>7.2</v>
      </c>
      <c r="F22" s="13" t="s">
        <v>97</v>
      </c>
      <c r="G22" s="2" t="s">
        <v>76</v>
      </c>
      <c r="H22" s="2">
        <v>64041990</v>
      </c>
    </row>
    <row r="23" ht="24.75" customHeight="1" spans="1:8">
      <c r="A23" s="12" t="s">
        <v>102</v>
      </c>
      <c r="B23" s="11" t="s">
        <v>74</v>
      </c>
      <c r="C23" s="11" t="s">
        <v>56</v>
      </c>
      <c r="D23" s="11">
        <v>1.16</v>
      </c>
      <c r="E23" s="11">
        <v>7.2</v>
      </c>
      <c r="F23" s="13" t="s">
        <v>97</v>
      </c>
      <c r="G23" s="2" t="s">
        <v>76</v>
      </c>
      <c r="H23" s="2">
        <v>64041990</v>
      </c>
    </row>
    <row r="24" ht="24.75" customHeight="1" spans="1:8">
      <c r="A24" s="12" t="s">
        <v>103</v>
      </c>
      <c r="B24" s="11" t="s">
        <v>74</v>
      </c>
      <c r="C24" s="11" t="s">
        <v>57</v>
      </c>
      <c r="D24" s="11">
        <v>1.16</v>
      </c>
      <c r="E24" s="11">
        <v>7.2</v>
      </c>
      <c r="F24" s="13" t="s">
        <v>97</v>
      </c>
      <c r="G24" s="2" t="s">
        <v>76</v>
      </c>
      <c r="H24" s="2">
        <v>64041990</v>
      </c>
    </row>
    <row r="25" ht="24.75" customHeight="1" spans="1:8">
      <c r="A25" s="12" t="s">
        <v>104</v>
      </c>
      <c r="B25" s="11" t="s">
        <v>74</v>
      </c>
      <c r="C25" s="11" t="s">
        <v>58</v>
      </c>
      <c r="D25" s="11">
        <v>1.16</v>
      </c>
      <c r="E25" s="11">
        <v>7.2</v>
      </c>
      <c r="F25" s="13" t="s">
        <v>97</v>
      </c>
      <c r="G25" s="2" t="s">
        <v>76</v>
      </c>
      <c r="H25" s="2">
        <v>64041990</v>
      </c>
    </row>
    <row r="26" ht="24.75" customHeight="1" spans="1:8">
      <c r="A26" s="12" t="s">
        <v>105</v>
      </c>
      <c r="B26" s="11" t="s">
        <v>74</v>
      </c>
      <c r="C26" s="11" t="s">
        <v>59</v>
      </c>
      <c r="D26" s="11">
        <v>1.16</v>
      </c>
      <c r="E26" s="11">
        <v>7.2</v>
      </c>
      <c r="F26" s="13" t="s">
        <v>97</v>
      </c>
      <c r="G26" s="2" t="s">
        <v>76</v>
      </c>
      <c r="H26" s="2">
        <v>64041990</v>
      </c>
    </row>
    <row r="27" spans="1:8">
      <c r="A27" s="12"/>
    </row>
    <row r="28" spans="1:8">
      <c r="A28" s="12"/>
    </row>
    <row r="29" spans="1:8">
      <c r="A29" s="12"/>
    </row>
    <row r="30" spans="1:8">
      <c r="A30" s="12"/>
    </row>
    <row r="31" spans="1:8">
      <c r="A31" s="12"/>
    </row>
    <row r="32" spans="1:8">
      <c r="A32" s="12"/>
    </row>
    <row r="33" spans="1:8">
      <c r="A33" s="12"/>
    </row>
    <row r="34" spans="1:8">
      <c r="A34" s="12" t="s">
        <v>106</v>
      </c>
      <c r="B34" s="11" t="s">
        <v>74</v>
      </c>
      <c r="C34" s="11" t="s">
        <v>60</v>
      </c>
      <c r="D34" s="11">
        <v>1.16</v>
      </c>
      <c r="E34" s="11">
        <v>7.2</v>
      </c>
      <c r="F34" s="13" t="s">
        <v>97</v>
      </c>
      <c r="G34" s="2" t="s">
        <v>76</v>
      </c>
      <c r="H34" s="2">
        <v>64041990</v>
      </c>
    </row>
    <row r="35" spans="1:8">
      <c r="A35" s="12" t="s">
        <v>107</v>
      </c>
      <c r="B35" s="11" t="s">
        <v>74</v>
      </c>
      <c r="C35" s="11" t="s">
        <v>108</v>
      </c>
      <c r="D35" s="11">
        <v>1.16</v>
      </c>
      <c r="E35" s="11">
        <v>7.2</v>
      </c>
      <c r="F35" s="13" t="s">
        <v>97</v>
      </c>
      <c r="G35" s="2" t="s">
        <v>76</v>
      </c>
      <c r="H35" s="2">
        <v>64041990</v>
      </c>
    </row>
    <row r="36" ht="40.5" spans="1:8">
      <c r="A36" s="11" t="s">
        <v>109</v>
      </c>
      <c r="B36" s="11" t="s">
        <v>74</v>
      </c>
      <c r="C36" s="14" t="s">
        <v>110</v>
      </c>
      <c r="D36" s="11">
        <v>1.16</v>
      </c>
      <c r="E36" s="11">
        <v>7.2</v>
      </c>
      <c r="F36" s="13" t="s">
        <v>97</v>
      </c>
      <c r="G36" s="2" t="s">
        <v>76</v>
      </c>
      <c r="H36" s="2">
        <v>64041990</v>
      </c>
    </row>
  </sheetData>
  <conditionalFormatting sqref="A19">
    <cfRule type="duplicateValues" dxfId="0" priority="8"/>
  </conditionalFormatting>
  <conditionalFormatting sqref="A20">
    <cfRule type="duplicateValues" dxfId="0" priority="6"/>
  </conditionalFormatting>
  <conditionalFormatting sqref="A21">
    <cfRule type="duplicateValues" dxfId="0" priority="5"/>
  </conditionalFormatting>
  <conditionalFormatting sqref="A22">
    <cfRule type="duplicateValues" dxfId="0" priority="4"/>
  </conditionalFormatting>
  <conditionalFormatting sqref="A35">
    <cfRule type="duplicateValues" dxfId="0" priority="7"/>
  </conditionalFormatting>
  <conditionalFormatting sqref="C36">
    <cfRule type="duplicateValues" dxfId="0" priority="1"/>
  </conditionalFormatting>
  <conditionalFormatting sqref="A$1:A$1048576">
    <cfRule type="duplicateValues" dxfId="0" priority="2"/>
  </conditionalFormatting>
  <conditionalFormatting sqref="A23:A33">
    <cfRule type="duplicateValues" dxfId="0" priority="3"/>
  </conditionalFormatting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zoomScale="85" zoomScaleNormal="85" topLeftCell="A4" workbookViewId="0">
      <selection activeCell="H34" sqref="H34"/>
    </sheetView>
  </sheetViews>
  <sheetFormatPr defaultColWidth="9" defaultRowHeight="18.75"/>
  <cols>
    <col min="1" max="1" width="20.5" style="1" customWidth="1"/>
    <col min="2" max="2" width="27.3333333333333" style="1" customWidth="1"/>
    <col min="3" max="3" width="35.6666666666667" style="2" customWidth="1"/>
    <col min="4" max="4" width="10" style="2" customWidth="1"/>
    <col min="5" max="5" width="9.33333333333333" style="2"/>
    <col min="6" max="6" width="9.33333333333333" style="2" customWidth="1"/>
    <col min="7" max="7" width="35.6666666666667" style="2" customWidth="1"/>
    <col min="8" max="8" width="114.666666666667" style="2" customWidth="1"/>
    <col min="9" max="9" width="9.33333333333333" style="2" customWidth="1"/>
    <col min="10" max="10" width="13.3333333333333" style="2" customWidth="1"/>
    <col min="11" max="11" width="9.33333333333333" style="2" customWidth="1"/>
    <col min="12" max="16384" width="9.33333333333333" style="2"/>
  </cols>
  <sheetData>
    <row r="1" ht="20.25" customHeight="1" spans="1:10">
      <c r="C1" s="3" t="s">
        <v>23</v>
      </c>
      <c r="D1" s="4" t="s">
        <v>111</v>
      </c>
      <c r="E1" s="4" t="s">
        <v>112</v>
      </c>
    </row>
    <row r="2" ht="18" customHeight="1" spans="1:10">
      <c r="A2" s="1" t="s">
        <v>82</v>
      </c>
      <c r="B2" s="1" t="s">
        <v>113</v>
      </c>
      <c r="C2" s="5" t="str">
        <f>A2&amp;B2</f>
        <v>40700-007 (KM3.PO4.26)</v>
      </c>
      <c r="D2" s="6">
        <f>VLOOKUP(A2,[1]Sheet1!A$2:D$31,4,0)</f>
        <v>3</v>
      </c>
      <c r="E2" s="7">
        <f>VLOOKUP(A2,[1]Sheet1!A$2:E$31,5,0)</f>
        <v>8.1</v>
      </c>
      <c r="F2" s="8">
        <v>4</v>
      </c>
      <c r="G2" s="5" t="str">
        <f>C2</f>
        <v>40700-007 (KM3.PO4.26)</v>
      </c>
      <c r="H2" s="2" t="s">
        <v>114</v>
      </c>
      <c r="I2" s="2" t="s">
        <v>76</v>
      </c>
      <c r="J2" s="2">
        <v>64041990</v>
      </c>
    </row>
    <row r="3" ht="18" customHeight="1" spans="1:10">
      <c r="A3" s="1" t="s">
        <v>79</v>
      </c>
      <c r="B3" s="1" t="s">
        <v>113</v>
      </c>
      <c r="C3" s="5" t="str">
        <f t="shared" ref="C3:C39" si="0">A3&amp;B3</f>
        <v>40700-060 (KM3.PO4.26)</v>
      </c>
      <c r="D3" s="6">
        <f>VLOOKUP(A3,[1]Sheet1!A$2:D$31,4,0)</f>
        <v>3</v>
      </c>
      <c r="E3" s="7">
        <f>VLOOKUP(A3,[1]Sheet1!A$2:E$31,5,0)</f>
        <v>8.1</v>
      </c>
      <c r="F3" s="8">
        <v>4</v>
      </c>
      <c r="G3" s="5" t="str">
        <f t="shared" ref="G3:G39" si="1">C3</f>
        <v>40700-060 (KM3.PO4.26)</v>
      </c>
      <c r="H3" s="2" t="s">
        <v>114</v>
      </c>
      <c r="I3" s="2" t="s">
        <v>76</v>
      </c>
      <c r="J3" s="2">
        <v>64041990</v>
      </c>
    </row>
    <row r="4" ht="18" customHeight="1" spans="1:10">
      <c r="A4" s="1" t="s">
        <v>83</v>
      </c>
      <c r="B4" s="1" t="s">
        <v>113</v>
      </c>
      <c r="C4" s="5" t="str">
        <f t="shared" si="0"/>
        <v>40700-066 (KM3.PO4.26)</v>
      </c>
      <c r="D4" s="6">
        <f>VLOOKUP(A4,[1]Sheet1!A$2:D$31,4,0)</f>
        <v>3</v>
      </c>
      <c r="E4" s="7">
        <f>VLOOKUP(A4,[1]Sheet1!A$2:E$31,5,0)</f>
        <v>8.1</v>
      </c>
      <c r="F4" s="8">
        <v>4</v>
      </c>
      <c r="G4" s="5" t="str">
        <f t="shared" si="1"/>
        <v>40700-066 (KM3.PO4.26)</v>
      </c>
      <c r="H4" s="2" t="s">
        <v>114</v>
      </c>
      <c r="I4" s="2" t="s">
        <v>76</v>
      </c>
      <c r="J4" s="2">
        <v>64041990</v>
      </c>
    </row>
    <row r="5" ht="19.5" customHeight="1" spans="1:10">
      <c r="A5" s="1" t="s">
        <v>95</v>
      </c>
      <c r="B5" s="1" t="s">
        <v>113</v>
      </c>
      <c r="C5" s="5" t="str">
        <f t="shared" si="0"/>
        <v>40700-143 (KM3.PO4.26)</v>
      </c>
      <c r="D5" s="6">
        <f>VLOOKUP(A5,[1]Sheet1!A$2:D$31,4,0)</f>
        <v>3</v>
      </c>
      <c r="E5" s="7">
        <f>VLOOKUP(A5,[1]Sheet1!A$2:E$31,5,0)</f>
        <v>8.1</v>
      </c>
      <c r="F5" s="8">
        <v>4</v>
      </c>
      <c r="G5" s="5" t="str">
        <f t="shared" si="1"/>
        <v>40700-143 (KM3.PO4.26)</v>
      </c>
      <c r="H5" s="2" t="s">
        <v>114</v>
      </c>
      <c r="I5" s="2" t="s">
        <v>76</v>
      </c>
      <c r="J5" s="2">
        <v>64041990</v>
      </c>
    </row>
    <row r="6" ht="19.5" customHeight="1" spans="1:10">
      <c r="A6" s="1" t="s">
        <v>84</v>
      </c>
      <c r="B6" s="1" t="s">
        <v>113</v>
      </c>
      <c r="C6" s="5" t="str">
        <f t="shared" si="0"/>
        <v>40700-410 (KM3.PO4.26)</v>
      </c>
      <c r="D6" s="6">
        <f>VLOOKUP(A6,[1]Sheet1!A$2:D$31,4,0)</f>
        <v>3</v>
      </c>
      <c r="E6" s="7">
        <f>VLOOKUP(A6,[1]Sheet1!A$2:E$31,5,0)</f>
        <v>8.1</v>
      </c>
      <c r="F6" s="8">
        <v>4</v>
      </c>
      <c r="G6" s="5" t="str">
        <f t="shared" si="1"/>
        <v>40700-410 (KM3.PO4.26)</v>
      </c>
      <c r="H6" s="2" t="s">
        <v>114</v>
      </c>
      <c r="I6" s="2" t="s">
        <v>76</v>
      </c>
      <c r="J6" s="2">
        <v>64041990</v>
      </c>
    </row>
    <row r="7" ht="19.5" customHeight="1" spans="1:10">
      <c r="A7" s="1" t="s">
        <v>115</v>
      </c>
      <c r="B7" s="1" t="s">
        <v>113</v>
      </c>
      <c r="C7" s="5" t="str">
        <f t="shared" si="0"/>
        <v>41878-0NG (KM3.PO4.26)</v>
      </c>
      <c r="D7" s="6"/>
      <c r="E7" s="7"/>
      <c r="F7" s="8">
        <v>4</v>
      </c>
      <c r="G7" s="5" t="str">
        <f t="shared" si="1"/>
        <v>41878-0NG (KM3.PO4.26)</v>
      </c>
      <c r="H7" s="2" t="s">
        <v>114</v>
      </c>
      <c r="I7" s="2" t="s">
        <v>76</v>
      </c>
      <c r="J7" s="2">
        <v>64041990</v>
      </c>
    </row>
    <row r="8" ht="19.5" customHeight="1" spans="1:10">
      <c r="A8" s="1" t="s">
        <v>73</v>
      </c>
      <c r="B8" s="1" t="s">
        <v>113</v>
      </c>
      <c r="C8" s="5" t="str">
        <f t="shared" si="0"/>
        <v>42072-030 (KM3.PO4.26)</v>
      </c>
      <c r="D8" s="6">
        <f>VLOOKUP(A8,[1]Sheet1!A$2:D$31,4,0)</f>
        <v>3.2</v>
      </c>
      <c r="E8" s="7">
        <f>VLOOKUP(A8,[1]Sheet1!A$2:E$31,5,0)</f>
        <v>8.2</v>
      </c>
      <c r="F8" s="8">
        <v>4</v>
      </c>
      <c r="G8" s="5" t="str">
        <f t="shared" si="1"/>
        <v>42072-030 (KM3.PO4.26)</v>
      </c>
      <c r="H8" s="2" t="s">
        <v>114</v>
      </c>
      <c r="I8" s="2" t="s">
        <v>76</v>
      </c>
      <c r="J8" s="2">
        <v>64041990</v>
      </c>
    </row>
    <row r="9" ht="19.5" customHeight="1" spans="1:10">
      <c r="A9" s="1" t="s">
        <v>116</v>
      </c>
      <c r="B9" s="1" t="s">
        <v>113</v>
      </c>
      <c r="C9" s="5" t="str">
        <f t="shared" si="0"/>
        <v>42072-1ZI (KM3.PO4.26)</v>
      </c>
      <c r="D9" s="6">
        <f>VLOOKUP(A9,[1]Sheet1!A$2:D$31,4,0)</f>
        <v>3.19</v>
      </c>
      <c r="E9" s="7">
        <f>VLOOKUP(A9,[1]Sheet1!A$2:E$31,5,0)</f>
        <v>8.2</v>
      </c>
      <c r="F9" s="8">
        <v>4</v>
      </c>
      <c r="G9" s="5" t="str">
        <f t="shared" si="1"/>
        <v>42072-1ZI (KM3.PO4.26)</v>
      </c>
      <c r="H9" s="2" t="s">
        <v>75</v>
      </c>
      <c r="I9" s="2" t="s">
        <v>76</v>
      </c>
      <c r="J9" s="2">
        <v>64041990</v>
      </c>
    </row>
    <row r="10" ht="18" customHeight="1" spans="1:10">
      <c r="A10" s="1" t="s">
        <v>77</v>
      </c>
      <c r="B10" s="1" t="s">
        <v>113</v>
      </c>
      <c r="C10" s="5" t="str">
        <f t="shared" si="0"/>
        <v>42072-267 (KM3.PO4.26)</v>
      </c>
      <c r="D10" s="6">
        <f>VLOOKUP(A10,[1]Sheet1!A$2:D$31,4,0)</f>
        <v>3.2</v>
      </c>
      <c r="E10" s="7">
        <f>VLOOKUP(A10,[1]Sheet1!A$2:E$31,5,0)</f>
        <v>8.2</v>
      </c>
      <c r="F10" s="8">
        <v>4</v>
      </c>
      <c r="G10" s="5" t="str">
        <f t="shared" si="1"/>
        <v>42072-267 (KM3.PO4.26)</v>
      </c>
      <c r="H10" s="2" t="s">
        <v>75</v>
      </c>
      <c r="I10" s="2" t="s">
        <v>76</v>
      </c>
      <c r="J10" s="2">
        <v>64041990</v>
      </c>
    </row>
    <row r="11" ht="18" customHeight="1" spans="1:10">
      <c r="A11" s="1" t="s">
        <v>78</v>
      </c>
      <c r="B11" s="1" t="s">
        <v>113</v>
      </c>
      <c r="C11" s="5" t="str">
        <f t="shared" si="0"/>
        <v>42072-410 (KM3.PO4.26)</v>
      </c>
      <c r="D11" s="6">
        <f>VLOOKUP(A11,[1]Sheet1!A$2:D$31,4,0)</f>
        <v>3.2</v>
      </c>
      <c r="E11" s="7">
        <f>VLOOKUP(A11,[1]Sheet1!A$2:E$31,5,0)</f>
        <v>8.2</v>
      </c>
      <c r="F11" s="8">
        <v>4</v>
      </c>
      <c r="G11" s="5" t="str">
        <f t="shared" si="1"/>
        <v>42072-410 (KM3.PO4.26)</v>
      </c>
      <c r="H11" s="2" t="s">
        <v>75</v>
      </c>
      <c r="I11" s="2" t="s">
        <v>76</v>
      </c>
      <c r="J11" s="2">
        <v>64041990</v>
      </c>
    </row>
    <row r="12" ht="18" customHeight="1" spans="1:10">
      <c r="A12" s="1" t="s">
        <v>81</v>
      </c>
      <c r="B12" s="1" t="s">
        <v>113</v>
      </c>
      <c r="C12" s="5" t="str">
        <f t="shared" si="0"/>
        <v>42073-030 (KM3.PO4.26)</v>
      </c>
      <c r="D12" s="6">
        <f>VLOOKUP(A12,[1]Sheet1!A$2:D$31,4,0)</f>
        <v>3.2</v>
      </c>
      <c r="E12" s="7">
        <f>VLOOKUP(A12,[1]Sheet1!A$2:E$31,5,0)</f>
        <v>8.2</v>
      </c>
      <c r="F12" s="8">
        <v>4</v>
      </c>
      <c r="G12" s="5" t="str">
        <f t="shared" si="1"/>
        <v>42073-030 (KM3.PO4.26)</v>
      </c>
      <c r="H12" s="2" t="s">
        <v>75</v>
      </c>
      <c r="I12" s="2" t="s">
        <v>76</v>
      </c>
      <c r="J12" s="2">
        <v>64041990</v>
      </c>
    </row>
    <row r="13" ht="18" customHeight="1" spans="1:10">
      <c r="A13" s="1" t="s">
        <v>86</v>
      </c>
      <c r="B13" s="1" t="s">
        <v>113</v>
      </c>
      <c r="C13" s="5" t="str">
        <f t="shared" si="0"/>
        <v>42073-060 (KM3.PO4.26)</v>
      </c>
      <c r="D13" s="6">
        <f>VLOOKUP(A13,[1]Sheet1!A$2:D$31,4,0)</f>
        <v>3.2</v>
      </c>
      <c r="E13" s="7">
        <f>VLOOKUP(A13,[1]Sheet1!A$2:E$31,5,0)</f>
        <v>8.2</v>
      </c>
      <c r="F13" s="8">
        <v>4</v>
      </c>
      <c r="G13" s="5" t="str">
        <f t="shared" si="1"/>
        <v>42073-060 (KM3.PO4.26)</v>
      </c>
      <c r="H13" s="2" t="s">
        <v>117</v>
      </c>
      <c r="I13" s="2" t="s">
        <v>76</v>
      </c>
      <c r="J13" s="2">
        <v>64041990</v>
      </c>
    </row>
    <row r="14" ht="18" customHeight="1" spans="1:10">
      <c r="A14" s="1" t="s">
        <v>118</v>
      </c>
      <c r="B14" s="1" t="s">
        <v>113</v>
      </c>
      <c r="C14" s="5" t="str">
        <f t="shared" si="0"/>
        <v>42073-267 (KM3.PO4.26)</v>
      </c>
      <c r="D14" s="6">
        <f>VLOOKUP(A14,[1]Sheet1!A$2:D$31,4,0)</f>
        <v>3.2</v>
      </c>
      <c r="E14" s="7">
        <f>VLOOKUP(A14,[1]Sheet1!A$2:E$31,5,0)</f>
        <v>8.2</v>
      </c>
      <c r="F14" s="8">
        <v>4</v>
      </c>
      <c r="G14" s="5" t="str">
        <f t="shared" si="1"/>
        <v>42073-267 (KM3.PO4.26)</v>
      </c>
      <c r="H14" s="2" t="s">
        <v>75</v>
      </c>
      <c r="I14" s="2" t="s">
        <v>76</v>
      </c>
      <c r="J14" s="2">
        <v>64041990</v>
      </c>
    </row>
    <row r="15" ht="16.5" customHeight="1" spans="1:10">
      <c r="A15" s="1" t="s">
        <v>87</v>
      </c>
      <c r="B15" s="1" t="s">
        <v>113</v>
      </c>
      <c r="C15" s="5" t="str">
        <f t="shared" si="0"/>
        <v>42073-410 (KM3.PO4.26)</v>
      </c>
      <c r="D15" s="6">
        <f>VLOOKUP(A15,[1]Sheet1!A$2:D$31,4,0)</f>
        <v>3.2</v>
      </c>
      <c r="E15" s="7">
        <f>VLOOKUP(A15,[1]Sheet1!A$2:E$31,5,0)</f>
        <v>8.2</v>
      </c>
      <c r="F15" s="8">
        <v>4</v>
      </c>
      <c r="G15" s="5" t="str">
        <f t="shared" si="1"/>
        <v>42073-410 (KM3.PO4.26)</v>
      </c>
      <c r="H15" s="2" t="s">
        <v>75</v>
      </c>
      <c r="I15" s="2" t="s">
        <v>76</v>
      </c>
      <c r="J15" s="2">
        <v>64041990</v>
      </c>
    </row>
    <row r="16" ht="16.5" customHeight="1" spans="1:10">
      <c r="A16" s="1" t="s">
        <v>119</v>
      </c>
      <c r="B16" s="1" t="s">
        <v>113</v>
      </c>
      <c r="C16" s="5" t="str">
        <f t="shared" si="0"/>
        <v>43223-001 (KM3.PO4.26)</v>
      </c>
      <c r="D16" s="6"/>
      <c r="E16" s="7"/>
      <c r="F16" s="8">
        <v>4</v>
      </c>
      <c r="G16" s="5" t="str">
        <f t="shared" si="1"/>
        <v>43223-001 (KM3.PO4.26)</v>
      </c>
      <c r="H16" s="2" t="s">
        <v>75</v>
      </c>
      <c r="I16" s="2" t="s">
        <v>76</v>
      </c>
      <c r="J16" s="2">
        <v>64041990</v>
      </c>
    </row>
    <row r="17" ht="18" customHeight="1" spans="1:10">
      <c r="A17" s="1" t="s">
        <v>120</v>
      </c>
      <c r="B17" s="1" t="s">
        <v>113</v>
      </c>
      <c r="C17" s="5" t="str">
        <f t="shared" si="0"/>
        <v>44599-0PF (KM3.PO4.26)</v>
      </c>
      <c r="D17" s="6">
        <v>1.16</v>
      </c>
      <c r="E17" s="7">
        <v>7</v>
      </c>
      <c r="F17" s="8"/>
      <c r="G17" s="5" t="str">
        <f t="shared" si="1"/>
        <v>44599-0PF (KM3.PO4.26)</v>
      </c>
      <c r="H17" s="2" t="s">
        <v>75</v>
      </c>
      <c r="I17" s="2" t="s">
        <v>76</v>
      </c>
      <c r="J17" s="2">
        <v>64041990</v>
      </c>
    </row>
    <row r="18" ht="18" customHeight="1" spans="1:10">
      <c r="A18" s="1" t="s">
        <v>121</v>
      </c>
      <c r="B18" s="1" t="s">
        <v>113</v>
      </c>
      <c r="C18" s="5" t="str">
        <f t="shared" si="0"/>
        <v>44599-2KY (KM3.PO4.26)</v>
      </c>
      <c r="D18" s="6">
        <v>1.16</v>
      </c>
      <c r="E18" s="7">
        <v>7</v>
      </c>
      <c r="F18" s="8"/>
      <c r="G18" s="5" t="str">
        <f t="shared" si="1"/>
        <v>44599-2KY (KM3.PO4.26)</v>
      </c>
      <c r="H18" s="2" t="s">
        <v>75</v>
      </c>
      <c r="I18" s="2" t="s">
        <v>76</v>
      </c>
      <c r="J18" s="2">
        <v>64041990</v>
      </c>
    </row>
    <row r="19" ht="18" customHeight="1" spans="1:10">
      <c r="A19" s="1" t="s">
        <v>122</v>
      </c>
      <c r="B19" s="1" t="s">
        <v>113</v>
      </c>
      <c r="C19" s="5" t="str">
        <f t="shared" si="0"/>
        <v>44599-2KZ (KM3.PO4.26)</v>
      </c>
      <c r="D19" s="6">
        <v>1.16</v>
      </c>
      <c r="E19" s="7">
        <v>7</v>
      </c>
      <c r="F19" s="8">
        <v>4</v>
      </c>
      <c r="G19" s="5" t="str">
        <f t="shared" si="1"/>
        <v>44599-2KZ (KM3.PO4.26)</v>
      </c>
      <c r="H19" s="2" t="s">
        <v>75</v>
      </c>
      <c r="I19" s="2" t="s">
        <v>76</v>
      </c>
      <c r="J19" s="2">
        <v>64041990</v>
      </c>
    </row>
    <row r="20" ht="18" customHeight="1" spans="1:10">
      <c r="A20" s="1" t="s">
        <v>89</v>
      </c>
      <c r="B20" s="1" t="s">
        <v>113</v>
      </c>
      <c r="C20" s="5" t="str">
        <f t="shared" si="0"/>
        <v>45187-1WQ (KM3.PO4.26)</v>
      </c>
      <c r="D20" s="6">
        <f>VLOOKUP(A20,[1]Sheet1!A$2:D$31,4,0)</f>
        <v>3.02</v>
      </c>
      <c r="E20" s="7">
        <f>VLOOKUP(A20,[1]Sheet1!A$2:E$31,5,0)</f>
        <v>8.2</v>
      </c>
      <c r="F20" s="8">
        <v>4</v>
      </c>
      <c r="G20" s="5" t="str">
        <f t="shared" si="1"/>
        <v>45187-1WQ (KM3.PO4.26)</v>
      </c>
      <c r="H20" s="2" t="s">
        <v>75</v>
      </c>
      <c r="I20" s="2" t="s">
        <v>76</v>
      </c>
      <c r="J20" s="2">
        <v>64041990</v>
      </c>
    </row>
    <row r="21" ht="18" customHeight="1" spans="1:10">
      <c r="A21" s="1" t="s">
        <v>91</v>
      </c>
      <c r="B21" s="1" t="s">
        <v>113</v>
      </c>
      <c r="C21" s="5" t="str">
        <f t="shared" si="0"/>
        <v>45187-3AW (KM3.PO4.26)</v>
      </c>
      <c r="D21" s="6">
        <f>VLOOKUP(A21,[1]Sheet1!A$2:D$31,4,0)</f>
        <v>3.02</v>
      </c>
      <c r="E21" s="7">
        <f>VLOOKUP(A21,[1]Sheet1!A$2:E$31,5,0)</f>
        <v>8.2</v>
      </c>
      <c r="F21" s="8">
        <v>4</v>
      </c>
      <c r="G21" s="5" t="str">
        <f t="shared" si="1"/>
        <v>45187-3AW (KM3.PO4.26)</v>
      </c>
      <c r="H21" s="2" t="s">
        <v>94</v>
      </c>
      <c r="I21" s="2" t="s">
        <v>76</v>
      </c>
      <c r="J21" s="2">
        <v>64041990</v>
      </c>
    </row>
    <row r="22" ht="18" customHeight="1" spans="1:10">
      <c r="A22" s="1" t="s">
        <v>123</v>
      </c>
      <c r="B22" s="1" t="s">
        <v>113</v>
      </c>
      <c r="C22" s="5" t="str">
        <f t="shared" si="0"/>
        <v>45187-4ZV (KM3.PO4.26)</v>
      </c>
      <c r="D22" s="6">
        <f>VLOOKUP(A22,[1]Sheet1!A$2:D$31,4,0)</f>
        <v>3.02</v>
      </c>
      <c r="E22" s="7">
        <f>VLOOKUP(A22,[1]Sheet1!A$2:E$31,5,0)</f>
        <v>8.2</v>
      </c>
      <c r="F22" s="8">
        <v>4</v>
      </c>
      <c r="G22" s="5" t="str">
        <f t="shared" si="1"/>
        <v>45187-4ZV (KM3.PO4.26)</v>
      </c>
      <c r="H22" s="2" t="s">
        <v>90</v>
      </c>
      <c r="I22" s="2" t="s">
        <v>76</v>
      </c>
      <c r="J22" s="2">
        <v>64041990</v>
      </c>
    </row>
    <row r="23" ht="18" customHeight="1" spans="1:10">
      <c r="A23" s="1" t="s">
        <v>124</v>
      </c>
      <c r="B23" s="1" t="s">
        <v>113</v>
      </c>
      <c r="C23" s="5" t="str">
        <f t="shared" si="0"/>
        <v>45414-0CU (KM3.PO4.26)</v>
      </c>
      <c r="D23" s="6">
        <f>VLOOKUP(A23,[1]Sheet1!A$2:D$31,4,0)</f>
        <v>3.02</v>
      </c>
      <c r="E23" s="7">
        <f>VLOOKUP(A23,[1]Sheet1!A$2:E$31,5,0)</f>
        <v>8.4</v>
      </c>
      <c r="F23" s="8"/>
      <c r="G23" s="5" t="str">
        <f t="shared" si="1"/>
        <v>45414-0CU (KM3.PO4.26)</v>
      </c>
      <c r="H23" s="2" t="s">
        <v>90</v>
      </c>
      <c r="I23" s="2" t="s">
        <v>76</v>
      </c>
      <c r="J23" s="2">
        <v>64041990</v>
      </c>
    </row>
    <row r="24" ht="18" customHeight="1" spans="1:10">
      <c r="A24" s="1" t="s">
        <v>125</v>
      </c>
      <c r="B24" s="1" t="s">
        <v>113</v>
      </c>
      <c r="C24" s="5" t="str">
        <f t="shared" si="0"/>
        <v>45428-2LX (KM3.PO4.26)</v>
      </c>
      <c r="D24" s="6">
        <v>3</v>
      </c>
      <c r="E24" s="7">
        <v>8.1</v>
      </c>
      <c r="F24" s="8">
        <v>4</v>
      </c>
      <c r="G24" s="5" t="str">
        <f t="shared" si="1"/>
        <v>45428-2LX (KM3.PO4.26)</v>
      </c>
      <c r="H24" s="2" t="s">
        <v>90</v>
      </c>
      <c r="I24" s="2" t="s">
        <v>76</v>
      </c>
      <c r="J24" s="2">
        <v>64041990</v>
      </c>
    </row>
    <row r="25" ht="18" customHeight="1" spans="1:10">
      <c r="A25" s="1" t="s">
        <v>93</v>
      </c>
      <c r="B25" s="1" t="s">
        <v>113</v>
      </c>
      <c r="C25" s="5" t="str">
        <f t="shared" si="0"/>
        <v>45777-7BR (KM3.PO4.26)</v>
      </c>
      <c r="D25" s="6">
        <f>VLOOKUP(A25,[1]Sheet1!A$2:D$31,4,0)</f>
        <v>2.99</v>
      </c>
      <c r="E25" s="7">
        <f>VLOOKUP(A25,[1]Sheet1!A$2:E$31,5,0)</f>
        <v>8</v>
      </c>
      <c r="F25" s="8">
        <v>4</v>
      </c>
      <c r="G25" s="5" t="str">
        <f t="shared" si="1"/>
        <v>45777-7BR (KM3.PO4.26)</v>
      </c>
      <c r="H25" s="2" t="s">
        <v>90</v>
      </c>
      <c r="I25" s="2" t="s">
        <v>76</v>
      </c>
      <c r="J25" s="2">
        <v>64041990</v>
      </c>
    </row>
    <row r="26" ht="18" customHeight="1" spans="1:10">
      <c r="A26" s="1" t="s">
        <v>126</v>
      </c>
      <c r="B26" s="1" t="s">
        <v>113</v>
      </c>
      <c r="C26" s="5" t="str">
        <f t="shared" si="0"/>
        <v>45849-0C4 (KM3.PO4.26)</v>
      </c>
      <c r="D26" s="6"/>
      <c r="E26" s="7"/>
      <c r="F26" s="8"/>
      <c r="G26" s="5" t="str">
        <f t="shared" si="1"/>
        <v>45849-0C4 (KM3.PO4.26)</v>
      </c>
      <c r="H26" s="2" t="s">
        <v>90</v>
      </c>
      <c r="I26" s="2" t="s">
        <v>76</v>
      </c>
      <c r="J26" s="2">
        <v>64041990</v>
      </c>
    </row>
    <row r="27" ht="18" customHeight="1" spans="1:10">
      <c r="A27" s="1" t="s">
        <v>127</v>
      </c>
      <c r="B27" s="1" t="s">
        <v>113</v>
      </c>
      <c r="C27" s="5" t="str">
        <f t="shared" si="0"/>
        <v>45849-2OG (KM3.PO4.26)</v>
      </c>
      <c r="D27" s="6"/>
      <c r="E27" s="7"/>
      <c r="F27" s="8"/>
      <c r="G27" s="5" t="str">
        <f t="shared" si="1"/>
        <v>45849-2OG (KM3.PO4.26)</v>
      </c>
      <c r="H27" s="2" t="s">
        <v>94</v>
      </c>
      <c r="I27" s="2" t="s">
        <v>76</v>
      </c>
      <c r="J27" s="2">
        <v>64041990</v>
      </c>
    </row>
    <row r="28" ht="18" customHeight="1" spans="1:10">
      <c r="A28" s="1" t="s">
        <v>128</v>
      </c>
      <c r="B28" s="1" t="s">
        <v>113</v>
      </c>
      <c r="C28" s="5" t="str">
        <f t="shared" si="0"/>
        <v>45862-0TA (KM3.PO4.26)</v>
      </c>
      <c r="D28" s="6"/>
      <c r="E28" s="7"/>
      <c r="F28" s="8"/>
      <c r="G28" s="5" t="str">
        <f t="shared" si="1"/>
        <v>45862-0TA (KM3.PO4.26)</v>
      </c>
      <c r="H28" s="2" t="s">
        <v>114</v>
      </c>
      <c r="I28" s="2" t="s">
        <v>76</v>
      </c>
      <c r="J28" s="2">
        <v>64041990</v>
      </c>
    </row>
    <row r="29" ht="18" customHeight="1" spans="1:10">
      <c r="A29" s="1" t="s">
        <v>129</v>
      </c>
      <c r="B29" s="1" t="s">
        <v>113</v>
      </c>
      <c r="C29" s="5" t="str">
        <f t="shared" si="0"/>
        <v>45862-1ZK (KM3.PO4.26)</v>
      </c>
      <c r="D29" s="6"/>
      <c r="E29" s="7"/>
      <c r="F29" s="8"/>
      <c r="G29" s="5" t="str">
        <f t="shared" si="1"/>
        <v>45862-1ZK (KM3.PO4.26)</v>
      </c>
      <c r="H29" s="2" t="s">
        <v>114</v>
      </c>
      <c r="I29" s="2" t="s">
        <v>76</v>
      </c>
      <c r="J29" s="2">
        <v>64041990</v>
      </c>
    </row>
    <row r="30" ht="18" customHeight="1" spans="1:10">
      <c r="A30" s="1" t="s">
        <v>130</v>
      </c>
      <c r="B30" s="1" t="s">
        <v>113</v>
      </c>
      <c r="C30" s="5" t="str">
        <f t="shared" si="0"/>
        <v>45862-3ZZ (KM3.PO4.26)</v>
      </c>
      <c r="D30" s="6"/>
      <c r="E30" s="7"/>
      <c r="F30" s="8"/>
      <c r="G30" s="5" t="str">
        <f t="shared" si="1"/>
        <v>45862-3ZZ (KM3.PO4.26)</v>
      </c>
    </row>
    <row r="31" ht="18" customHeight="1" spans="1:10">
      <c r="A31" s="1" t="s">
        <v>131</v>
      </c>
      <c r="B31" s="1" t="s">
        <v>113</v>
      </c>
      <c r="C31" s="5" t="str">
        <f t="shared" si="0"/>
        <v>45865-0C4 (KM3.PO4.26)</v>
      </c>
      <c r="D31" s="6">
        <f>VLOOKUP(A31,[1]Sheet1!A$2:D$31,4,0)</f>
        <v>3</v>
      </c>
      <c r="E31" s="7">
        <f>VLOOKUP(A31,[1]Sheet1!A$2:E$31,5,0)</f>
        <v>8.1</v>
      </c>
      <c r="F31" s="8"/>
      <c r="G31" s="5" t="str">
        <f t="shared" si="1"/>
        <v>45865-0C4 (KM3.PO4.26)</v>
      </c>
    </row>
    <row r="32" ht="18" customHeight="1" spans="1:10">
      <c r="A32" s="1" t="s">
        <v>132</v>
      </c>
      <c r="B32" s="1" t="s">
        <v>113</v>
      </c>
      <c r="C32" s="5" t="str">
        <f t="shared" si="0"/>
        <v>45865-2NX (KM3.PO4.26)</v>
      </c>
      <c r="D32" s="6">
        <f>VLOOKUP(A32,[1]Sheet1!A$2:D$31,4,0)</f>
        <v>3</v>
      </c>
      <c r="E32" s="7">
        <f>VLOOKUP(A32,[1]Sheet1!A$2:E$31,5,0)</f>
        <v>8.1</v>
      </c>
      <c r="F32" s="8"/>
      <c r="G32" s="5" t="str">
        <f t="shared" si="1"/>
        <v>45865-2NX (KM3.PO4.26)</v>
      </c>
    </row>
    <row r="33" ht="18" customHeight="1" spans="1:10">
      <c r="A33" s="1" t="s">
        <v>133</v>
      </c>
      <c r="B33" s="1" t="s">
        <v>113</v>
      </c>
      <c r="C33" s="5" t="str">
        <f t="shared" si="0"/>
        <v>45866-2OC (KM3.PO4.26)</v>
      </c>
      <c r="D33" s="6"/>
      <c r="E33" s="7"/>
      <c r="F33" s="8"/>
      <c r="G33" s="5" t="str">
        <f t="shared" si="1"/>
        <v>45866-2OC (KM3.PO4.26)</v>
      </c>
    </row>
    <row r="34" ht="18" customHeight="1" spans="1:10">
      <c r="A34" s="1" t="s">
        <v>134</v>
      </c>
      <c r="B34" s="1" t="s">
        <v>113</v>
      </c>
      <c r="C34" s="5" t="str">
        <f t="shared" si="0"/>
        <v>45868-0C4 (KM3.PO4.26)</v>
      </c>
      <c r="D34" s="6"/>
      <c r="E34" s="7"/>
      <c r="F34" s="8"/>
      <c r="G34" s="5" t="str">
        <f t="shared" si="1"/>
        <v>45868-0C4 (KM3.PO4.26)</v>
      </c>
    </row>
    <row r="35" ht="18" customHeight="1" spans="1:10">
      <c r="A35" s="1" t="s">
        <v>135</v>
      </c>
      <c r="B35" s="1" t="s">
        <v>113</v>
      </c>
      <c r="C35" s="5" t="str">
        <f t="shared" si="0"/>
        <v>45875-001 (KM3.PO4.26)</v>
      </c>
      <c r="D35" s="6"/>
      <c r="E35" s="7"/>
      <c r="F35" s="8"/>
      <c r="G35" s="5" t="str">
        <f t="shared" si="1"/>
        <v>45875-001 (KM3.PO4.26)</v>
      </c>
    </row>
    <row r="36" ht="18" customHeight="1" spans="1:10">
      <c r="A36" s="1" t="s">
        <v>136</v>
      </c>
      <c r="B36" s="1" t="s">
        <v>113</v>
      </c>
      <c r="C36" s="5" t="str">
        <f t="shared" si="0"/>
        <v>45876-0C4 (KM3.PO4.26)</v>
      </c>
      <c r="D36" s="6"/>
      <c r="E36" s="7"/>
      <c r="F36" s="8"/>
      <c r="G36" s="5" t="str">
        <f t="shared" si="1"/>
        <v>45876-0C4 (KM3.PO4.26)</v>
      </c>
    </row>
    <row r="37" ht="18" customHeight="1" spans="1:10">
      <c r="A37" s="1" t="s">
        <v>137</v>
      </c>
      <c r="B37" s="1" t="s">
        <v>113</v>
      </c>
      <c r="C37" s="5" t="str">
        <f t="shared" si="0"/>
        <v>45876-0OE (KM3.PO4.26)</v>
      </c>
      <c r="D37" s="6"/>
      <c r="E37" s="7"/>
      <c r="F37" s="8"/>
      <c r="G37" s="5" t="str">
        <f t="shared" si="1"/>
        <v>45876-0OE (KM3.PO4.26)</v>
      </c>
    </row>
    <row r="38" ht="18" customHeight="1" spans="1:10">
      <c r="A38" s="1" t="s">
        <v>138</v>
      </c>
      <c r="B38" s="1" t="s">
        <v>113</v>
      </c>
      <c r="C38" s="5" t="str">
        <f t="shared" si="0"/>
        <v>45906-0SM (KM3.PO4.26)</v>
      </c>
      <c r="D38" s="6"/>
      <c r="E38" s="7"/>
      <c r="F38" s="8"/>
      <c r="G38" s="5" t="str">
        <f t="shared" si="1"/>
        <v>45906-0SM (KM3.PO4.26)</v>
      </c>
    </row>
    <row r="39" ht="18" customHeight="1" spans="1:10">
      <c r="A39" s="1" t="s">
        <v>139</v>
      </c>
      <c r="B39" s="1" t="s">
        <v>113</v>
      </c>
      <c r="C39" s="5" t="str">
        <f t="shared" si="0"/>
        <v>45906-4UX (KM3.PO4.26)</v>
      </c>
      <c r="D39" s="6"/>
      <c r="E39" s="7"/>
      <c r="F39" s="8"/>
      <c r="G39" s="5" t="str">
        <f t="shared" si="1"/>
        <v>45906-4UX (KM3.PO4.26)</v>
      </c>
    </row>
    <row r="40" spans="1:10">
      <c r="C40" s="5"/>
      <c r="G40" s="5"/>
    </row>
    <row r="41" ht="18" customHeight="1" spans="1:10">
      <c r="A41" s="1" t="s">
        <v>140</v>
      </c>
      <c r="B41" s="1" t="s">
        <v>141</v>
      </c>
      <c r="C41" s="5" t="str">
        <f t="shared" ref="C41:C48" si="2">A41&amp;B41</f>
        <v>44259-265.M (KM3.PO3.26)</v>
      </c>
      <c r="D41" s="9">
        <v>2.23</v>
      </c>
      <c r="E41" s="10">
        <v>7.5</v>
      </c>
      <c r="G41" s="5" t="str">
        <f t="shared" ref="G41:G48" si="3">C41</f>
        <v>44259-265.M (KM3.PO3.26)</v>
      </c>
      <c r="H41" s="2" t="s">
        <v>142</v>
      </c>
      <c r="I41" s="2" t="s">
        <v>76</v>
      </c>
      <c r="J41" s="2">
        <v>64061090</v>
      </c>
    </row>
    <row r="42" ht="18" customHeight="1" spans="1:10">
      <c r="A42" s="1" t="s">
        <v>143</v>
      </c>
      <c r="B42" s="1" t="s">
        <v>141</v>
      </c>
      <c r="C42" s="5" t="str">
        <f t="shared" si="2"/>
        <v>45636-060.M (KM3.PO3.26)</v>
      </c>
      <c r="D42" s="9">
        <v>2.18</v>
      </c>
      <c r="E42" s="10">
        <v>7</v>
      </c>
      <c r="G42" s="5" t="str">
        <f t="shared" si="3"/>
        <v>45636-060.M (KM3.PO3.26)</v>
      </c>
      <c r="H42" s="2" t="s">
        <v>144</v>
      </c>
      <c r="I42" s="2" t="s">
        <v>76</v>
      </c>
      <c r="J42" s="2">
        <v>64061090</v>
      </c>
    </row>
    <row r="43" ht="18" customHeight="1" spans="1:10">
      <c r="A43" s="1" t="s">
        <v>145</v>
      </c>
      <c r="B43" s="1" t="s">
        <v>141</v>
      </c>
      <c r="C43" s="5" t="str">
        <f t="shared" si="2"/>
        <v>45636-0HY.M (KM3.PO3.26)</v>
      </c>
      <c r="D43" s="9">
        <v>2.18</v>
      </c>
      <c r="E43" s="10">
        <v>7</v>
      </c>
      <c r="G43" s="5" t="str">
        <f t="shared" si="3"/>
        <v>45636-0HY.M (KM3.PO3.26)</v>
      </c>
      <c r="H43" s="2" t="s">
        <v>144</v>
      </c>
      <c r="I43" s="2" t="s">
        <v>76</v>
      </c>
      <c r="J43" s="2">
        <v>64061090</v>
      </c>
    </row>
    <row r="44" ht="18" customHeight="1" spans="1:10">
      <c r="A44" s="1" t="s">
        <v>146</v>
      </c>
      <c r="B44" s="1" t="s">
        <v>141</v>
      </c>
      <c r="C44" s="5" t="str">
        <f t="shared" si="2"/>
        <v>45636-2NZ.M (KM3.PO3.26)</v>
      </c>
      <c r="D44" s="9">
        <v>2.18</v>
      </c>
      <c r="E44" s="10">
        <v>7</v>
      </c>
      <c r="G44" s="5" t="str">
        <f t="shared" si="3"/>
        <v>45636-2NZ.M (KM3.PO3.26)</v>
      </c>
      <c r="H44" s="2" t="s">
        <v>144</v>
      </c>
      <c r="I44" s="2" t="s">
        <v>76</v>
      </c>
      <c r="J44" s="2">
        <v>64061090</v>
      </c>
    </row>
    <row r="45" ht="18" customHeight="1" spans="1:10">
      <c r="A45" s="1" t="s">
        <v>147</v>
      </c>
      <c r="B45" s="1" t="s">
        <v>141</v>
      </c>
      <c r="C45" s="5" t="str">
        <f t="shared" si="2"/>
        <v>45636-455.M (KM3.PO3.26)</v>
      </c>
      <c r="D45" s="9">
        <v>2.18</v>
      </c>
      <c r="E45" s="10">
        <v>7</v>
      </c>
      <c r="G45" s="5" t="str">
        <f t="shared" si="3"/>
        <v>45636-455.M (KM3.PO3.26)</v>
      </c>
      <c r="H45" s="2" t="s">
        <v>144</v>
      </c>
      <c r="I45" s="2" t="s">
        <v>76</v>
      </c>
      <c r="J45" s="2">
        <v>64061090</v>
      </c>
    </row>
    <row r="46" ht="18" customHeight="1" spans="1:10">
      <c r="A46" s="1" t="s">
        <v>148</v>
      </c>
      <c r="B46" s="1" t="s">
        <v>141</v>
      </c>
      <c r="C46" s="5" t="str">
        <f t="shared" si="2"/>
        <v>45636-79F.M (KM3.PO3.26)</v>
      </c>
      <c r="D46" s="9">
        <v>2.18</v>
      </c>
      <c r="E46" s="10">
        <v>7</v>
      </c>
      <c r="G46" s="5" t="str">
        <f t="shared" si="3"/>
        <v>45636-79F.M (KM3.PO3.26)</v>
      </c>
      <c r="H46" s="2" t="s">
        <v>144</v>
      </c>
      <c r="I46" s="2" t="s">
        <v>76</v>
      </c>
      <c r="J46" s="2">
        <v>64061090</v>
      </c>
    </row>
    <row r="47" ht="18" customHeight="1" spans="1:10">
      <c r="A47" s="1" t="s">
        <v>149</v>
      </c>
      <c r="B47" s="1" t="s">
        <v>141</v>
      </c>
      <c r="C47" s="5" t="str">
        <f t="shared" si="2"/>
        <v>45717-0HX.M (KM3.PO3.26)</v>
      </c>
      <c r="D47" s="9">
        <v>2.18</v>
      </c>
      <c r="E47" s="10">
        <v>7</v>
      </c>
      <c r="G47" s="5" t="str">
        <f t="shared" si="3"/>
        <v>45717-0HX.M (KM3.PO3.26)</v>
      </c>
      <c r="H47" s="2" t="s">
        <v>144</v>
      </c>
      <c r="I47" s="2" t="s">
        <v>76</v>
      </c>
      <c r="J47" s="2">
        <v>64061090</v>
      </c>
    </row>
    <row r="48" ht="18" customHeight="1" spans="1:10">
      <c r="A48" s="1" t="s">
        <v>150</v>
      </c>
      <c r="B48" s="1" t="s">
        <v>141</v>
      </c>
      <c r="C48" s="5" t="str">
        <f t="shared" si="2"/>
        <v>45717-2GA.M (KM3.PO3.26)</v>
      </c>
      <c r="D48" s="9">
        <v>2.18</v>
      </c>
      <c r="E48" s="10">
        <v>7</v>
      </c>
      <c r="G48" s="5" t="str">
        <f t="shared" si="3"/>
        <v>45717-2GA.M (KM3.PO3.26)</v>
      </c>
      <c r="H48" s="2" t="s">
        <v>144</v>
      </c>
      <c r="I48" s="2" t="s">
        <v>76</v>
      </c>
      <c r="J48" s="2">
        <v>64061090</v>
      </c>
    </row>
  </sheetData>
  <autoFilter xmlns:etc="http://www.wps.cn/officeDocument/2017/etCustomData" ref="A1:K39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INV</vt:lpstr>
      <vt:lpstr>PKL</vt:lpstr>
      <vt:lpstr>Sheet2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yt</dc:creator>
  <cp:lastModifiedBy>PC</cp:lastModifiedBy>
  <dcterms:created xsi:type="dcterms:W3CDTF">2024-08-08T09:39:00Z</dcterms:created>
  <cp:lastPrinted>2026-08-24T05:32:00Z</cp:lastPrinted>
  <dcterms:modified xsi:type="dcterms:W3CDTF">2026-09-08T07:16:10Z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2024-08-08T00:00:00Z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2024-08-08T00:00:00Z</vt:filetime>
  </property>
  <property fmtid="{D5CDD505-2E9C-101B-9397-08002B2CF9AE}" pid="5" name="Producer">
    <vt:lpwstr>Microsoft® Excel® 2016; modified using iTextSharp 5.1.1 (c) 1T3XT BVBA</vt:lpwstr>
  </property>
  <property fmtid="{D5CDD505-2E9C-101B-9397-08002B2CF9AE}" pid="6" name="ICV">
    <vt:lpwstr>424AD36528D9435B9AC30AC5C9297755_12</vt:lpwstr>
  </property>
  <property fmtid="{D5CDD505-2E9C-101B-9397-08002B2CF9AE}" pid="7" name="KSOProductBuildVer">
    <vt:lpwstr>1033-12.1.0.26880</vt:lpwstr>
  </property>
  <property fmtid="{D5CDD505-2E9C-101B-9397-08002B2CF9AE}" pid="8" name="CalculationRule">
    <vt:i4>0</vt:i4>
  </property>
</Properties>
</file>